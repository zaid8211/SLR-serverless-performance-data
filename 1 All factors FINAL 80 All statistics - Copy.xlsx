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tables/table3.xml" ContentType="application/vnd.openxmlformats-officedocument.spreadsheetml.table+xml"/>
  <Override PartName="/xl/pivotTables/pivotTable3.xml" ContentType="application/vnd.openxmlformats-officedocument.spreadsheetml.pivotTable+xml"/>
  <Override PartName="/xl/tables/table4.xml" ContentType="application/vnd.openxmlformats-officedocument.spreadsheetml.table+xml"/>
  <Override PartName="/xl/pivotTables/pivotTable4.xml" ContentType="application/vnd.openxmlformats-officedocument.spreadsheetml.pivotTable+xml"/>
  <Override PartName="/xl/tables/table5.xml" ContentType="application/vnd.openxmlformats-officedocument.spreadsheetml.table+xml"/>
  <Override PartName="/xl/pivotTables/pivotTable5.xml" ContentType="application/vnd.openxmlformats-officedocument.spreadsheetml.pivotTable+xml"/>
  <Override PartName="/xl/tables/table6.xml" ContentType="application/vnd.openxmlformats-officedocument.spreadsheetml.table+xml"/>
  <Override PartName="/xl/pivotTables/pivotTable6.xml" ContentType="application/vnd.openxmlformats-officedocument.spreadsheetml.pivotTable+xml"/>
  <Override PartName="/xl/tables/table7.xml" ContentType="application/vnd.openxmlformats-officedocument.spreadsheetml.table+xml"/>
  <Override PartName="/xl/pivotTables/pivotTable7.xml" ContentType="application/vnd.openxmlformats-officedocument.spreadsheetml.pivotTable+xml"/>
  <Override PartName="/xl/tables/table8.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E:\PhD papers\1 Semester-Proposal Files\2- Systimatic Review 1st Paper (Performance optimization in serverless cloud computing)\1 AAll My Selected DataBase\"/>
    </mc:Choice>
  </mc:AlternateContent>
  <xr:revisionPtr revIDLastSave="0" documentId="13_ncr:1_{15C16036-CE31-4943-8B86-42A489F06618}" xr6:coauthVersionLast="47" xr6:coauthVersionMax="47" xr10:uidLastSave="{00000000-0000-0000-0000-000000000000}"/>
  <bookViews>
    <workbookView xWindow="28680" yWindow="-120" windowWidth="29040" windowHeight="15720" tabRatio="654" xr2:uid="{00000000-000D-0000-FFFF-FFFF00000000}"/>
  </bookViews>
  <sheets>
    <sheet name="Main" sheetId="1" r:id="rId1"/>
    <sheet name="Latency" sheetId="6" r:id="rId2"/>
    <sheet name="Cost" sheetId="8" r:id="rId3"/>
    <sheet name="Executuin time" sheetId="4" r:id="rId4"/>
    <sheet name="Workload" sheetId="7" r:id="rId5"/>
    <sheet name="Cold start" sheetId="5" r:id="rId6"/>
    <sheet name="Resource Allocation" sheetId="11" r:id="rId7"/>
    <sheet name="Throughput" sheetId="9" r:id="rId8"/>
    <sheet name="All statistics" sheetId="10" r:id="rId9"/>
  </sheets>
  <calcPr calcId="191029"/>
  <pivotCaches>
    <pivotCache cacheId="0" r:id="rId10"/>
    <pivotCache cacheId="1" r:id="rId11"/>
    <pivotCache cacheId="2" r:id="rId12"/>
    <pivotCache cacheId="3" r:id="rId13"/>
    <pivotCache cacheId="4" r:id="rId14"/>
    <pivotCache cacheId="5" r:id="rId15"/>
    <pivotCache cacheId="6"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 i="1" l="1"/>
  <c r="R6" i="1"/>
  <c r="R5" i="1"/>
  <c r="R8" i="1"/>
  <c r="R3" i="1"/>
  <c r="R7" i="1"/>
  <c r="R9" i="1"/>
  <c r="R10" i="1"/>
  <c r="R16" i="1"/>
  <c r="R12" i="1"/>
  <c r="R17" i="1"/>
  <c r="R14" i="1"/>
  <c r="R11" i="1"/>
  <c r="R13" i="1"/>
  <c r="R15" i="1"/>
  <c r="R22" i="1"/>
  <c r="R24" i="1"/>
  <c r="R29" i="1"/>
  <c r="R18" i="1"/>
  <c r="R20" i="1"/>
  <c r="R26" i="1"/>
  <c r="R23" i="1"/>
  <c r="R19" i="1"/>
  <c r="R28" i="1"/>
  <c r="R27" i="1"/>
  <c r="R25" i="1"/>
  <c r="R21" i="1"/>
  <c r="R37" i="1"/>
  <c r="R40" i="1"/>
  <c r="R42" i="1"/>
  <c r="R31" i="1"/>
  <c r="R43" i="1"/>
  <c r="R32" i="1"/>
  <c r="R35" i="1"/>
  <c r="R33" i="1"/>
  <c r="R34" i="1"/>
  <c r="R41" i="1"/>
  <c r="R36" i="1"/>
  <c r="R30" i="1"/>
  <c r="R39" i="1"/>
  <c r="R38" i="1"/>
  <c r="R56" i="1"/>
  <c r="R58" i="1"/>
  <c r="R59" i="1"/>
  <c r="R63" i="1"/>
  <c r="R54" i="1"/>
  <c r="R55" i="1"/>
  <c r="R52" i="1"/>
  <c r="R51" i="1"/>
  <c r="R47" i="1"/>
  <c r="R48" i="1"/>
  <c r="R46" i="1"/>
  <c r="R49" i="1"/>
  <c r="R53" i="1"/>
  <c r="R67" i="1"/>
  <c r="R62" i="1"/>
  <c r="R60" i="1"/>
  <c r="R50" i="1"/>
  <c r="R64" i="1"/>
  <c r="R45" i="1"/>
  <c r="R66" i="1"/>
  <c r="R65" i="1"/>
  <c r="R61" i="1"/>
  <c r="R57" i="1"/>
  <c r="R44" i="1"/>
  <c r="R72" i="1"/>
  <c r="R68" i="1"/>
  <c r="R76" i="1"/>
  <c r="R79" i="1"/>
  <c r="R78" i="1"/>
  <c r="R69" i="1"/>
  <c r="R75" i="1"/>
  <c r="R71" i="1"/>
  <c r="R73" i="1"/>
  <c r="R77" i="1"/>
  <c r="R80" i="1"/>
  <c r="R74" i="1"/>
  <c r="R70" i="1"/>
  <c r="R81" i="1"/>
  <c r="R2" i="1"/>
  <c r="O82" i="1"/>
  <c r="J82" i="1"/>
  <c r="K82" i="1"/>
  <c r="L82" i="1"/>
  <c r="M82" i="1"/>
  <c r="N82" i="1"/>
  <c r="I82" i="1"/>
</calcChain>
</file>

<file path=xl/sharedStrings.xml><?xml version="1.0" encoding="utf-8"?>
<sst xmlns="http://schemas.openxmlformats.org/spreadsheetml/2006/main" count="2688" uniqueCount="555">
  <si>
    <t>Year</t>
  </si>
  <si>
    <t>Authors</t>
  </si>
  <si>
    <t>Title</t>
  </si>
  <si>
    <t>Abstract</t>
  </si>
  <si>
    <t>Publication Stage</t>
  </si>
  <si>
    <t>Publisher</t>
  </si>
  <si>
    <t>Final</t>
  </si>
  <si>
    <t>Scopus</t>
  </si>
  <si>
    <t>Mampage A.; Karunasekera S.; Buyya R.</t>
  </si>
  <si>
    <t>A deep reinforcement learning based algorithm for time and cost optimized scaling of serverless applications</t>
  </si>
  <si>
    <t>Serverless computing has gained a strong traction in the cloud computing community in recent years. Among the many benefits of this novel computing model, the rapid auto-scaling capability of user applications takes prominence. However, the offer of adhoc scaling of user deployments at function level introduces many complications to serverless systems. The added delay and failures in function request executions caused by the time consumed for dynamically creating new resources to suit function workloads, known as the cold-start delay, is one such very prevalent shortcoming. Maintaining idle resource pools to alleviate this issue often results in wasted resources from the cloud provider perspective. Existing solutions to address this limitation mostly focus on predicting and understanding function load levels in order to proactively create required resources. Although these solutions improve function performance, the lack of understanding on the overall system characteristics in making these scaling decisions often leads to the sub-optimal usage of system resources. Further, the multi-tenant nature of serverless systems requires a scalable solution adaptable for multiple co-existing applications, a limitation seen in most current solutions. In this paper, we introduce a novel multi-agent Deep Reinforcement Learning based intelligent solution for both horizontal and vertical scaling of function resources, based on a comprehensive understanding on both function and system requirements. Our solution elevates function performance reducing cold starts, while also offering the flexibility for optimizing resource maintenance cost to the service providers. Experiments conducted considering varying workload scenarios show improvements of up to 23% and 34% in terms of application latency and request failures, or alternatively saving up to 45% in infrastructure cost for the service providers. © 2025</t>
  </si>
  <si>
    <t>Chen Y.; Liu B.; Lin W.; Guo Y.; Peng Z.</t>
  </si>
  <si>
    <t>CASR: Optimizing cold start and resources utilization in serverless computing</t>
  </si>
  <si>
    <t>Serverless computing, also known as Functions as a Service (FaaS), is an emerging cloud deployment paradigm that offers advantages such as pay-as-you-go pricing and automatic scaling. Functions often suffer from cold starts delays due to the overhead of initializing code and data dependencies before execution. Retaining containers in memory for a period after execution can reduce cold start latency. However, existing application-layer solutions overlook the effect of cold start overhead on the availability of containers, resulting in suboptimal balance between cold start latency and memory resource utilization. Furthermore, these strategies typically overlook the optimization of overall cold start overhead, which is essential for enhancing system efficiency. To address these challenges, we propose the Cache-Based Adaptive Scheduler for Serverless Runtime (CASR), an adaptive strategy for managing container runtime configurations. CASR effectively balances cold start latency and memory utilization while reducing overall cold start overhead. Specifically, we introduce a serverless cache (S-Cache) that leverages the equivalence between caching problems and container keep-alive strategies to mitigate cold starts. Additionally, we develop a deep reinforcement learning model, based on the proximal policy optimization algorithm, to enable the automatic scaling of the S-Cache queue, allowing adaptation to dynamic cloud workloads and enhancing memory resource utilization. Extensive simulations on an Azure dataset show that CASR reduces cold starts by 38.75%, improves memory resource utilization by 46.73%, and decreases cold start overhead by 48.53% compared to existing container keep-alive strategies in serverless platforms under common workloads. © 2025 Elsevier B.V.</t>
  </si>
  <si>
    <t>Shojaee Rad Z.; Ghobaei-Arani M.</t>
  </si>
  <si>
    <t>Daraghmeh M.; Jararweh Y.; Agarwal A.</t>
  </si>
  <si>
    <t>Leveraging machine learning and feature engineering for optimal data-driven scaling decision in serverless computing</t>
  </si>
  <si>
    <t>Serverless computing offers scalability and cost-efficiency, but balancing performance and cost remains challenging, particularly in scaling decisions that can lead to cold starts or resource misallocation. This research is motivated by the need to minimize the impact of cold starts and optimize resource utilization in serverless applications by developing intelligent, data-driven scaling decisions. We delve into using machine learning and feature engineering to model and simulate predictions for optimal scaling decisions for Azure Function Apps (AFA). Our focus lies in predicting the ideal timing for provisioning or de-provisioning the Function App's environment. Using historical invocation data, we applied a sliding window to transform the time-series data into patterns categorized as load or unload classes, considering various target periods. To identify the most effective model, we compared the performance of various baseline models with and without calibration (isotonic and sigmoid) to enhance precision. In addition, we assess multiple feature extraction methods in invocation patterns and explore the use of Principal Component Analysis (PCA) for dimensionality reduction to reduce computation costs. Using the best-identified configurations, we model and simulate the class patterns over time to compare the actual classes with the predicted ones, focusing on memory usage and the costs associated with cold starts. The proposed model is thoroughly evaluated using various metrics under different setups, revealing notable improvements in scaling decisions achieved by applying calibration and feature engineering methods. These findings demonstrate the potential of machine learning for intelligent, data-driven scaling decisions in serverless computing, offering valuable insights for cloud providers to optimize resource allocation and for developers to build more efficient and responsive serverless applications. Specifically, the proposed method can be integrated into serverless platforms to automatically adjust resource provisioning based on predicted workload demands, reducing cold start latency and improving cost-effectiveness. © 2025 The Authors</t>
  </si>
  <si>
    <t>Li M.; Xu F.; Wu Y.; Zhang J.; Xu W.; Wu Y.</t>
  </si>
  <si>
    <t>Real-time task dispatching and scheduling in serverless edge computing</t>
  </si>
  <si>
    <t>Edge computing brings computing resources closer to the Internet of Things (IoT) devices, significantly reducing transmission latency and bandwidth usage. However, the limited resources of edge servers require efficient management. Serverless computing meets this demand through its elastic resource provisioning, leading to the emergence of serverless edge computing—a promising computing paradigm. Despite its potential, real-time task dispatching and scheduling in the highly complex and dynamic environment of serverless edge computing present significant challenges. On the one hand, task execution requires not only sufficient CPU resources but also free containers; on the other hand, tasks are typically event-driven, with strong burstiness and high concurrency, and impose stringent demands on fast decision-making. To address these challenges, we propose a real-time task dispatching and scheduling method, aiming to maximize the satisfaction rate of Service Level Objectives (SLOs) for tasks. First, we design a task dispatching algorithm named Adaptive Deep Reinforcement Learning (ADRL). This algorithm can quickly decide the execution position of tasks based on coarse information and effectively adapt to the changes in available servers in dynamic environments. Second, we propose a task scheduling algorithm named Warm-aware Shortest Remaining Idle Time (WSRIT), which guides the edge servers to schedule the tasks in the request queue based on the tasks’ remaining idle time and the state of the warm containers. Considering the limited storage space of the edge servers, we further introduce a container replacement algorithm named Low Priority First (LPF) to ensure smooth container launches. Extensive simulation experiments are conducted based on Azure datasets. The results show that our methodcan improve the satisfaction rate of SLOs by 12.57∼41.87% and achieve the lowest cold start rate compared to existing methods. © 2025</t>
  </si>
  <si>
    <t>Hanaforoosh M.; Azgomi M.A.; Ashtiani M.</t>
  </si>
  <si>
    <t>Reducing the cost of cold start time in serverless function executions using granularity trees</t>
  </si>
  <si>
    <t>In serverless computing, cold starts significantly impede performance. This paper presents a granularity tree-based scheduling strategy, dynamically adjusting serverless function deployment by package dependencies to mitigate cold starts and optimize resource usage. This approach notably reduces cold start and response times. Empirical results from evaluating functions across various datasets show the strategy outperforms existing methods. Specifically, it consistently delivers lower response times and decreases resource consumption, demonstrating its effectiveness in managing computational resources while ensuring swift function invocation. In particular scenarios, the proposed scheduler impressively reduced response times from 8134.1 ms to 392.8 ms and idle memory usage from 15.2 GB to 11.2 GB per machine. In other scenarios, it reduced response times from 12,152.7 ms to 504.2 ms while maintaining a 100% function execution percentage. These quantified improvements underscore the significant enhancements in cold start mitigation and overall system performance, highlighting the potential of granularity tree-based scheduling in enhancing serverless computing architectures by effectively balancing rapid response with reduced resource usage. © 2024 Elsevier B.V.</t>
  </si>
  <si>
    <t>Data pipeline approaches in serverless computing: a taxonomy, review, and research trends</t>
  </si>
  <si>
    <t>Serverless computing has gained significant popularity due to its scalability, cost-effectiveness, and ease of deployment. With the exponential growth of data, organizations face the challenge of efficiently processing and analyzing vast amounts of data in a serverless environment. Data pipelines play a crucial role in managing and transforming data within serverless architectures. This paper provides a taxonomy of data pipeline approaches in serverless computing. Classification is based on architectural features, data processing techniques, and workflow orchestration mechanisms, these approaches are categorized into three primary methods: heuristic-based approach, Machine learning-based approach, and framework-based approach. Furthermore, a systematic review of existing data pipeline frameworks and tools is provided, encompassing their strengths, limitations, and real-world use cases. The advantages and disadvantages of each approach, also the challenges and performance metrics that influence their effectuality have been examined. Every data pipeline approach has certain advantages and disadvantages, whether it is framework-based, heuristic-based, or machine learning-based. Each approach is suitable for specific use cases. Hence, it is crucial assess the trade-offs between complexity, performance, cost, and scalability, while selecting a data pipeline approach. In the end, the paper highlights a number of open issues and future investigations directions for data pipeline in the serverless computing, which involve scalability, fault tolerance, data real time processing, data workflow orchestration, function state management with performance and cost in the serverless computing environments. © The Author(s) 2024.</t>
  </si>
  <si>
    <t>Tran M.-N.; Kim Y.</t>
  </si>
  <si>
    <t>Concurrent service auto-scaling for Knative resource quota-based serverless system</t>
  </si>
  <si>
    <t>Serverless computing platforms currently provide application developers with two ways to control their services’ resource usage cost: resource usage-based and resource quota-based. In usage-based systems, resources are assigned to services based on the amount they consume. Meanwhile, a fixed resource amount is reserved and shared between services for quota-based systems. Several studies have been proposed to enhancing the default serverless auto- scaling algorithms to optimize resource usage and service quality. However, almost all previous works targeted usage-based systems and optimized auto-scaling performance for each separate service. In contrast, this work targets auto-scaling of concurrent services in serverless quota-based systems. In serverless quota-based systems, over-quota resource usage and latency Service Level Objective (SLO) violation may occur when auto-scaling new instances during burst traffic moments. Hence, we aim to find an optimal hybrid auto-scaling decision to minimize over-quota resource usage and latency SLO violation. To solve this problem, We applied deep reinforcement learning and traffic prediction techniques. Our solution is developed and implemented based on the characteristics of the most popular open-source serverless platform Knative. For evaluation, we compared our solution with the default Knative auto-scaler and our previously proposed usage-based hybrid Knative auto-scaler. We configured the default Knative auto-scaler with two different settings that can optimize the total resource usage of all services or minimize service latency. Compared to the optimized resource usage version, our solution traded a slightly higher resource usage for an 11.3% latency SLO violation duration reduction. Meanwhile, compared with the optimized latency version, our solution reduced the over-quota resource usage rate by 18.25% while achieving a similar latency SLO preservation performance. Compared to the usage-based hybrid auto-scaler, the latency SLO violation rate and over-quota resource usage were approximately reduced by half. © 2024</t>
  </si>
  <si>
    <t>Wang Z.; Goudarzi M.; Gong M.; Buyya R.</t>
  </si>
  <si>
    <t>Deep Reinforcement Learning-based scheduling for optimizing system load and response time in edge and fog computing environments</t>
  </si>
  <si>
    <t>Edge/fog computing, as a distributed computing paradigm, satisfies the low-latency requirements of ever-increasing number of IoT applications and has become the mainstream computing paradigm behind IoT applications. However, because large number of IoT applications require execution on the edge/fog resources, the servers may be overloaded. Hence, it may disrupt the edge/fog servers and also negatively affect IoT applications’ response time. Moreover, many IoT applications are composed of dependent components incurring extra constraints for their execution. Besides, edge/fog computing environments and IoT applications are inherently dynamic and stochastic. Thus, efficient and adaptive scheduling of IoT applications in heterogeneous edge/fog computing environments is of paramount importance. However, limited computational resources on edge/fog servers imposes an extra burden for applying optimal but computationally demanding techniques. To overcome these challenges, we propose a Deep Reinforcement Learning-based IoT application Scheduling algorithm, called DRLIS to adaptively and efficiently optimize the response time of heterogeneous IoT applications and balance the load of the edge/fog servers. We implemented DRLIS as a practical scheduler in the FogBus2 function-as-a-service framework for creating an edge–fog–cloud integrated serverless computing environment. Results obtained from extensive experiments show that DRLIS significantly reduces the execution cost of IoT applications by up to 55%, 37%, and 50% in terms of load balancing, response time, and weighted cost, respectively, compared with metaheuristic algorithms and other reinforcement learning techniques. © 2023 The Author(s)</t>
  </si>
  <si>
    <t>Sahaya Sakila V.; Manohar S.</t>
  </si>
  <si>
    <t>Real-time air quality monitoring in Bull Trench Kiln-based Brick industry by calibrating sensor readings and utilizing the Serverless Computing</t>
  </si>
  <si>
    <t>Bull Trench Kiln-based Brick industries are major contributors of Particulate Matter Pollutants (PM2.5 and PM10), which leads to deterioration of air quality, and hence needs to be monitored. As the static air monitoring stations require huge infrastructure and are sparsely located, it is necessary to find alternate ways using recent technologies like IoT, Machine Learning, and Serverless Computing. IoT devices being low cost and portable could be deployed near brick industries, however, they are sensitive to fluctuating ambient air temperature or humidity and hence have to be calibrated and there is a need for powerful back-end infrastructures for storage and analyses of data. The existing approach of transmitting IoT-based data to the cloud is time-consuming, energy inefficient, prone to scaling problems, has poor resource utilization, and is expensive. In this study, the IoT data are calibrated using ML Classifier algorithms and an Automatic Function Triggerer - Function-as-a-Service (AFT-FaaS) method is proposed, which is based on event-driven, Serverless method using AWS Lambda along with the Three-Tier Serverless architecture (Edge Tier, Fog Tire, and Cloud Tier) to deal with the challenges of delay, under-resource allocation, and to reduce the expenditures. The data transmitted to the cloud using the proposed AFT-FaaS method are indexed in ElasticSearch and Kibana is used for the analysis and visualization of data. While performing calibration, Random Forest Classifier was chosen as it had accuracy of above 98%. Finally, an in-depth pricing analysis is performed to better understand the difference between different configurations deployed for Serverless and non-Serverless Computing methods, which shows there is a significant reduction (7 times) of expenses incurred while using Serverless Computing than the non-Serverless Computing methods. © 2023 Elsevier Ltd</t>
  </si>
  <si>
    <t>Jiang J.; Gan S.; Du B.; Alonso G.; Klimovic A.; Singla A.; Wu W.; Wang S.; Zhang C.</t>
  </si>
  <si>
    <t>A systematic evaluation of machine learning on serverless infrastructure</t>
  </si>
  <si>
    <t>Recently, the serverless paradigm of computing has inspired research on its applicability to data-intensive tasks such as ETL, database query processing, and machine learning (ML) model training. Recent efforts have proposed multiple systems for training large-scale ML models in a distributed manner on top of serverless infrastructures (e.g., AWS Lambda). Yet, there is so far no consensus on the design space for such systems when compared with systems built on top of classical “serverful” infrastructures. Indeed, a variety of factors could impact the performance of training ML models in a distributed environment, such as the optimization algorithm used and the synchronization protocol followed by parallel executors, which must be carefully considered when designing serverless ML systems. To clarify contradictory observations from previous work, in this paper we present a systematic comparative study of serverless and serverful systems for distributed ML training. We present a design space that covers design choices made by previous systems on aspects such as optimization algorithms and synchronization protocols. We then implement a platform, LambdaML, that enables a fair comparison between serverless and serverful systems by navigating the aforementioned design space. We further improve LambdaML toward automatic support by designing a hyper-parameter tuning framework that leverages the ability of serverless infrastructure. We present empirical evaluation results using LambdaML on both single training jobs and multi-tenant workloads. Our results reveal that there is no “one size fits all” serverless solution given the current state of the art—one must choose different designs for different ML workloads. We also develop an analytic model based on the empirical observations to capture the cost/performance tradeoffs that one has to consider when deciding between serverless and serverful designs for distributed ML training. © The Author(s), under exclusive licence to Springer-Verlag GmbH Germany, part of Springer Nature 2023.</t>
  </si>
  <si>
    <t>Dehury C.K.; Poojara S.; Srirama S.N.</t>
  </si>
  <si>
    <t>Def-DReL: Towards a sustainable serverless functions deployment strategy for fog-cloud environments using deep reinforcement learning</t>
  </si>
  <si>
    <t>Modern cloud applications are composed of tens of thousands of environment-agnostic serverless functions that can be deployed in either a fog or cloud environment. The key to sustaining fog computing is to offload the maximum amounts of computation to the cloud, and accommodate as many users as possible without compromising quality of service (QoS). However, recent research mainly focuses on assigning maximum resources to serverless applications from the fog node and not taking full advantage of the cloud environment, leading to a lack of sustainability in fog computing. As a way to fill this research gap, we explored what percentage of a user's request should be handled by fog and cloud. As a result, we proposed Def-DReL, a Systematic Deployment of Serverless Functions in Fog and Cloud environments using Deep Reinforcement Learning, by taking into account several real-life parameters, including distance from a nearby fog node and latency, priority of the user, priority of serverless applications, and resource usage. Def-DReL's performance is further compared with that of recent related algorithms. Simulation and comparison results clearly demonstrate a lesser number of serverless functions from each user (with approximately 10% improvement) being deployed in the fog node, resulting in accommodating limited fog resources to more number of users. The other simulation results show its superiority over other algorithms as well as its applicability to real-life scenarios. © 2023 Elsevier B.V.</t>
  </si>
  <si>
    <t>Kumari A.; Sahoo B.; Behera R.K.</t>
  </si>
  <si>
    <t>Workflow aware analytical model to predict performance and cost of serverless execution</t>
  </si>
  <si>
    <t>Serverless computing has emerged as a powerful deployment model based on the Function-as-a-Service (FaaS) paradigm, where applications are orchestrated through a set of independent functions. The function orchestration within an application can be represented through a serverless workflow, which defines the overall execution plan of the application. To ensure the quality of service for serverless computing platforms, it is essential to develop performance and cost models that can predict the service quality that can be obtained from deploying and executing applications in the cloud platform. While several analytical models have been developed for various cloud deployment frameworks in recent years, there has been a lack of performance and cost analysis models for serverless computing platforms. The existing performance and cost monitoring tools available in serverless frameworks face several challenges, such as complexity, lack of transparency, and incomplete monitoring data. In this paper, we fill the gap by proposing an efficient workflow-based analytical model that can estimate the end-to-end response time and cost of the serverless execution plan. The proposed model can handle complex structures like loop, cycles, self-loop, and parallel substructures that exist in serverless workflows. Additionally, we propose a heuristic optimization algorithm to identify the optimal resource configuration to achieve the optimal response time under a given budget constraint. We evaluated the effectiveness of the proposed model by considering seven serverless applications in both AWS Lambda and Microsoft Azure platforms. We compared the accuracy of the proposed model with the real values of response time and cost obtained in AWS Lambda and Microsoft Azure serverless platforms. The proposed performance and cost model in the AWS Lambda platform has been observed to have an average accuracy of 99.2% and 98.7% respectively. In the Microsoft Azure platform, the average accuracy of the performance and cost model has been observed to be 98.6% and 98.2% respectively. © 2023 John Wiley &amp; Sons, Ltd.</t>
  </si>
  <si>
    <t>Zheng S.; Liu B.; Lin W.; Ye X.; Li K.</t>
  </si>
  <si>
    <t>A package-aware scheduling strategy for edge serverless functions based on multi-stage optimization</t>
  </si>
  <si>
    <t>Serverless computing offers a promising deployment model for edge IoT applications. However, serverless functions that rely on large libraries suffer from severe library loading latency when containerized, which is unfriendly to edge latency-sensitive applications. Most function offload strategies in edge environments ignore the impact of this latency. We also found that the measures taken by serverless platforms to reduce loading latency may not work in edge environments. To remedy that, this paper proposes a function offloading strategy to minimize loading latency, a new way to deeply integrate placement optimization with cache optimization. In this way, we first design a package caching policy suitable for edge environments based on the consistency of execution topology. Then a Double Layers Dynamic Programming algorithm (DLDP) is proposed to solve the problem of function offloading considering the dependent packages using a multi-stage progressive optimization approach. The caching policy is embedded in the scheduling algorithm through a phased optimization approach to achieve joint optimization. Extensive experiments on the cluster trace from Alibaba show that DLDP reduces the loading latency of packages by more than 97.84% and significantly outperforms four baselines in the application completion time by more than 55.67%. © 2023 Elsevier B.V.</t>
  </si>
  <si>
    <t>Arjona A.; Finol G.; López P.G.</t>
  </si>
  <si>
    <t>Transparent serverless execution of Python multiprocessing applications</t>
  </si>
  <si>
    <t>Access transparency means that both local and remote resources are accessed using identical operations. With transparency, unmodified single-machine applications could run over disaggregated compute, storage, and memory resources. Hiding the complexity of distributed systems through transparency would have great benefits, like scaling-out local-parallel scientific applications over flexible disaggregated resources in the Cloud. This paper presents a performance evaluation where we assess the feasibility of access transparency over state-of-the-art Cloud disaggregated resources for Python multiprocessing applications. We have interfaced the multiprocessing module with an implementation that transparently runs processes on serverless functions and uses an in-memory data store for shared state. To evaluate transparency, we run in the Cloud four unmodified applications: Uber Research's Evolution Strategies, Baselines-AI's Proximal Policy Optimization, Pandaral.lel's dataframe, and Scikit Learn's Hyperparameter tuning. We compare execution time and scalability of the same application running over disaggregated resources using our library, with the single-machine Python multiprocessing libraries in a large VM. For equal resources, applications efficiently using message-passing abstractions achieve comparable results despite the significant overheads of remote communication. Other shared-memory intensive applications do not perform due to high remote memory latency. The results show that Python's multiprocessing library design is an enabler towards transparency: legacy applications using efficient disaggregated abstractions can transparently scale beyond VM limited resources for increased parallelism without changing the underlying code or architecture. © 2022 The Author(s)</t>
  </si>
  <si>
    <t>Yao X.; Chen N.; Yuan X.; Ou P.</t>
  </si>
  <si>
    <t>Performance optimization of serverless edge computing function offloading based on deep reinforcement learning</t>
  </si>
  <si>
    <t>It is difficult for resource-constrained edge servers to simultaneously meet the performance requirements of all the latency-sensitive Internet of Things (IoT) applications in edge computing. Therefore, it is a significant challenge to efficiently generate a task offloading strategy. Recently, deep reinforcement learning (DRL)-based task offloading methods have been studied to ensure long-term performance optimization. However, there are challenges in existing DRL-based task offloading methods, such as insufficient sample diversity and high exploration cost. To optimize the performance of edge computing and facilitate the development and deployment of event-driven IoT applications, the serverless edge computing model has emerged. It combines serverless computing, also known as Function as a Service (FaaS), with edge computing and has been adopted in edge AI inference and prediction, stream processing, face recognition, etc. In this paper, an experience-sharing deep reinforcement learning-based distributed function offloading method called ES-DRL is proposed in the setting of a combined stateful and stateless execution model for serverless edge computing. ES-DRL adopts a distributed learning architecture, where each edge FaaS (EFaaS) obtains the current state of the local environment and inputs them to the local DRL agent, which outputs the function offloading strategy. Then, each EFaaS uploads the experience data interacting with the environment to a global shared replay buffer located in the cloud and randomly draws a batch of data from it to optimize the parameters of the local network. A population-guided policy search method is introduced to speed up the convergence of the DRL agent and avoid falling into the local optimum. The experimental results demonstrate that ES-DRL can reduce the average latency by up to approximately 17 percent compared to the existing DRL-based task offloading method. © 2022 Elsevier B.V.</t>
  </si>
  <si>
    <t>Poojara S.R.; Dehury C.K.; Jakovits P.; Srirama S.N.</t>
  </si>
  <si>
    <t>Serverless data pipeline approaches for IoT data in fog and cloud computing</t>
  </si>
  <si>
    <t>With the increasing number of Internet of Things (IoT) devices, massive amounts of raw data is being generated. The latency, cost, and other challenges in cloud-based IoT data processing have driven the adoption of Edge and Fog computing models, where some data processing tasks are moved closer to data sources. Properly dealing with the flow of such data requires building data pipelines, to control the complete life cycle of data streams from data acquisition at the data source, edge and fog processing, to Cloud side storage and analytics. Data analytics tasks need to be executed dynamically at different distances from the data sources and often on very heterogeneous hardware devices. This can be streamlined by the use of a Serverless (or FaaS) cloud computing model, where tasks are defined as virtual functions, which can be migrated from edge to cloud (and vice versa) and executed in an event-driven manner on data streams. In this work, we investigate the benefits of building Serverless data pipelines (SDP) for IoT data analytics and evaluate three different approaches for designing SDPs: (1) Off-the-shelf data flow tool (DFT) based, (2) Object storage service (OSS) based and (3) MQTT based. Further, we applied these strategies on three fog applications (Aeneas, PocketSphinx, and custom Video processing application) and evaluated the performance by comparing their processing time (computation time, network communication and disk access time), and resource utilization. Results show that DFT is unsuitable for compute-intensive applications such as video or image processing, whereas OSS is best suitable for this task. However, DFT is nicely fit for bandwidth-intensive applications due to the minimum use of network resources. On the other hand, MQTT-based SDP is observed with increase in CPU and Memory usage as the number of users rose, and experienced a drop in data units in the pipeline for PocketSphinx and custom video processing applications, however it performed well for Aeneas which had low size data units. © 2021 Elsevier B.V.</t>
  </si>
  <si>
    <t>Kumari A.; Patra M.K.; Sahoo B.; Behera R.K.</t>
  </si>
  <si>
    <t>Resource optimization in performance modeling for serverless application</t>
  </si>
  <si>
    <t>Recently, serverless applications and serverless computing have gained popularity due to their pay-as-you-go billing mechanism, high scalability, high availability, and less burden in resource management. Despite that, many practical issues arise for cloud users while migrating their applications to the serverless environment such as estimating the exact cost, performance evaluation, cope up with the trade-off between performance and cost to get the expected quality of service, and restricted budget for serverless applications. In this research, an effort has been made to bridge the gap by proposing an effective performance model for various serverless applications, which can be represented as Directed Acyclic Graph workflows. Further, we have proposed a greedy optimization-based heuristic algorithm to obtain the resource configuration needed to get optimal end to end response time and the cost. We have leveraged the Step Functions and Lambda service of Amazon Web Service platform for evaluating the proposed models. An extensive analysis of performance-cost trade-off has been performed by considering four real-world serverless applications. © 2022, The Author(s), under exclusive licence to Bharati Vidyapeeth's Institute of Computer Applications and Management.</t>
  </si>
  <si>
    <t>Konstantoudakis K.; Breitgand D.; Doumanoglou A.; Zioulis N.; Weit A.; Christaki K.; Drakoulis P.; Christakis E.; Zarpalas D.; Daras P.</t>
  </si>
  <si>
    <t>Serverless streaming for emerging media: towards 5G network-driven cost optimization: A real-time adaptive streaming FaaS service for small-session-oriented immersive media</t>
  </si>
  <si>
    <t>Immersive 3D media is an emerging type of media that captures, encodes and reconstructs the 3D appearance of people and objects, with applications in tele-presence, teleconference, entertainment, gaming and other fields. In this paper, we discuss a novel concept of live 3D immersive media streaming in a serverless setting. In particular, we present a novel network-centric adaptive streaming framework which deviates from the traditional client-based adaptive streaming used in 2D video. In our framework the decisions for the production of the transcoding profiles are taken in a centralized manner, by considering consumer metrics vs provisioning costs and inferring the expected consumer quality of experience and behavior based on them. In addition, we demonstrate that a naive application of the serverless paradigm might be sub-optimal under some common immersive 3D media scenarios. © 2021, The Author(s), under exclusive licence to Springer Science+Business Media, LLC part of Springer Nature.</t>
  </si>
  <si>
    <t>Lee S.; Yoon D.; Yeo S.; Oh S.</t>
  </si>
  <si>
    <t>Mitigating cold start problem in serverless computing with function fusion</t>
  </si>
  <si>
    <t>As Artificial Intelligence (AI) is becoming ubiquitous in many applications, serverless computing is also emerging as a building block for developing cloud-based AI services. Serverless computing has received much interest because of its simplicity, scalability, and resource efficiency. However, due to the trade-off with resource efficiency, serverless computing suffers from the cold start problem, that is, a latency between a request arrival and function execution. The cold start problem significantly influences the overall response time of workflow that consists of functions because the cold start may occur in every function within the workflow. Function fusion can be one of the solutions to mitigate the cold start latency of a workflow. If two functions are fused into a single function, the cold start of the second function is removed; however, if parallel functions are fused, the workflow response time can be increased because the parallel functions run sequentially even if the cold start latency is reduced. This study presents an approach to mitigate the cold start latency of a workflow using function fusion while considering a parallel run. First, we identify three latencies that affect response time, present a workflow response time model considering the latency, and efficiently find a fusion solution that can optimize the response time on the cold start. Our method shows a response time of 28–86% of the response time of the original workflow in five workflows. © 2021 by the authors. Licensee MDPI, Basel, Switzerland.</t>
  </si>
  <si>
    <t>Banaei A.; Sharifi M.</t>
  </si>
  <si>
    <t>ETAS: predictive scheduling of functions on worker nodes of Apache OpenWhisk platform</t>
  </si>
  <si>
    <t>Fast execution of functions is an inevitable challenge in the serverless computing landscape. Inefficient dispatching, fluctuations in invocation rates, burstiness of workloads, and wide range of execution times of serverless functions result in load imbalances and overloading of worker nodes of serverless platforms that impose high latency on invocations. This paper is concentrated on function scheduling within worker nodes of Apache OpenWhisk serverless platform and presents ETAS, a predictive scheduling scheme to reduce response times of invocations besides increasing workers throughputs and resource utilizations. ETAS schedules functions using their execution times, estimated by their previous execution’s history, arrival times, and containers’ status. We have implemented ETAS in Apache OpenWhisk and show that, compared to the OpenWhisk worker scheduler and several queue scheduling schemes, ETAS outperforms others by reducing the average waiting time by 30% and increasing the throughput by 40%. © 2021, The Author(s), under exclusive licence to Springer Science+Business Media, LLC, part of Springer Nature.</t>
  </si>
  <si>
    <t>Gorlatova M.; Inaltekin H.; Chiang M.</t>
  </si>
  <si>
    <t>Characterizing task completion latencies in multi-point multi-quality fog computing systems</t>
  </si>
  <si>
    <t>Fog computing, which distributes computing resources to multiple locations between the Internet of Things (IoT) devices and the cloud, is attracting considerable attention from academia and industry. Yet, despite the excitement about the potential of fog computing, few comprehensive studies quantitatively characterizing the properties of fog computing architectures have been conducted. In this paper we examine the statistical properties of fog computing task completion latencies, which are important to understand to develop algorithms that match IoT nodes’ tasks with the best execution points within the fog computing substrate. Towards characterizing task completion latencies, we developed and deployed a set of benchmarks in 6 different locations, which included local nodes of different grades, conventional cloud computing services in two different regions, and Amazon Web Services (AWS) and Microsoft Azure serverless computing options. Using the developed infrastructure, we conducted a series of targeted experiments with a node invoking our benchmarks from different locations and in different conditions. The empirical study elucidated several important properties of task execution latencies, including latency variation across different execution points and execution options, and stability with respect to time. The study also demonstrated important properties of serverless execution options, and showed that statistical structure of computing latencies can be accurately characterized based on a small number (only 10–50) of latency samples. The complete measurement set we have captured as part of this study is publicly available. © 2020 Elsevier B.V.</t>
  </si>
  <si>
    <t>Scheuner J.; Leitner P.</t>
  </si>
  <si>
    <t>Function-as-a-Service performance evaluation: A multivocal literature review</t>
  </si>
  <si>
    <t>Function-as-a-Service (FaaS) is one form of the serverless cloud computing paradigm and is defined through FaaS platforms (e.g., AWS Lambda) executing event-triggered code snippets (i.e., functions). Many studies that empirically evaluate the performance of such FaaS platforms have started to appear but we are currently lacking a comprehensive understanding of the overall domain. To address this gap, we conducted a multivocal literature review (MLR) covering 112 studies from academic (51) and grey (61) literature. We find that existing work mainly studies the AWS Lambda platform and focuses on micro-benchmarks using simple functions to measure CPU speed and FaaS platform overhead (i.e., container cold starts). Further, we discover a mismatch between academic and industrial sources on tested platform configurations, find that function triggers remain insufficiently studied, and identify HTTP API gateways and cloud storages as the most used external service integrations. Following existing guidelines on experimentation in cloud systems, we discover many flaws threatening the reproducibility of experiments presented in the surveyed studies. We conclude with a discussion of gaps in literature and highlight methodological suggestions that may serve to improve future FaaS performance evaluation studies. © 2020 The Authors</t>
  </si>
  <si>
    <t>Rausch T.; Rashed A.; Dustdar S.</t>
  </si>
  <si>
    <t>Optimized container scheduling for data-intensive serverless edge computing</t>
  </si>
  <si>
    <t>Operating data-intensive applications on edge systems is challenging, due to the extreme workload and device heterogeneity, as well as the geographic dispersion of compute and storage infrastructure. Serverless computing has emerged as a compelling model to manage the complexity of such systems, by decoupling the underlying infrastructure and scaling mechanisms from applications. Although serverless platforms have reached a high level of maturity, we have found several limiting factors that inhibit their use in an edge setting. This paper presents a container scheduling system that enables such platforms to make efficient use of edge infrastructures. Our scheduler makes heuristic trade-offs between data and computation movement, and considers workload-specific compute requirements such as GPU acceleration. Furthermore, we present a method to automatically fine-tune the weights of scheduling constraints to optimize high-level operational objectives such as minimizing task execution time, uplink usage, or cloud execution cost. We implement a prototype that targets the container orchestration system Kubernetes, and deploy it on an edge testbed we have built. We evaluate our system with trace-driven simulations in different infrastructure scenarios, using traces generated from running representative workloads on our testbed. Our results show that (a) our scheduler significantly improves the quality of task placement compared to the state-of-the-art scheduler of Kubernetes, and (b) our method for fine-tuning scheduling parameters helps significantly in meeting operational goals. © 2020</t>
  </si>
  <si>
    <t>Cicconetti C.; Conti M.; Passarella A.</t>
  </si>
  <si>
    <t>Architecture and performance evaluation of distributed computation offloading in edge computing</t>
  </si>
  <si>
    <t>Edge computing is an emerging paradigm to enable low-latency applications, like mobile augmented reality, because it takes the computation on processing devices that are closer to the users. On the other hand, the need for highly scalable execution of stateless tasks for cloud systems is driving the definition of new technologies based on serverless computing. In this paper, we propose a novel architecture where the two converge to enable low-latency applications: This is achieved by offloading short-lived stateless tasks from the user terminals to edge nodes. Furthermore, we design a distributed algorithm that tackles the research challenge of selecting the best executor, based on real-time measurements and simple, yet effective, prediction algorithms. Finally, we describe a new performance evaluation framework specifically designed for an accurate assessment of algorithms and protocols in edge computing environments, where the nodes may have very heterogeneous networking and processing capabilities. The proposed framework relies on the use of real components on lightweight virtualization mixed with simulated computation and is well-suited to the analysis of several applications and network environments. Using our framework, we evaluate our proposed architecture and algorithms in small- and large-scale edge computing scenarios, showing that our solution achieves similar or better delay performance than a centralized solution, with far less network utilization. © 2019 Elsevier B.V.</t>
  </si>
  <si>
    <t>Uncoordinated access to serverless computing in MEC systems for IoT</t>
  </si>
  <si>
    <t>Edge computing is a promising solution to enable low-latency Internet of Things (IoT) applications, by shifting computation from remote data centers to local devices, less powerful but closer to the end user devices. However, this creates the challenge on how to best assign clients to edge nodes offering compute capabilities. So far, two antithetical architectures are proposed: centralized resource orchestration or distributed overlay. In this work we explore a third way, called uncoordinated access, which consists in letting every device exploring multiple opportunities, to opportunistically embrace the heterogeneity of network and load conditions towards diverse edge nodes. In particular, our contribution is intended for emerging serverless IoT applications, which do not have a state on the edge nodes executing tasks. We model the proposed system as a set of M/M/1 queues and show that it achieves a smaller delay than single edge node allocation. Furthermore, we compare uncoordinated access with state-of-the-art centralized and distributed alternatives in testbed experiments under more realistic conditions. Based on the results, our proposed approach, which requires a tiny fraction of the complexity of the alternatives in both the device and network components, is very effective in using the network resources, while incurring only a small penalty in terms of increased compute load and high percentiles of delay. © 2020 Elsevier B.V.</t>
  </si>
  <si>
    <t>Sen R.; Jindal A.; Patel H.; Qiao S.</t>
  </si>
  <si>
    <t>AutoToken: Predicting Peak Parallelism for Big Data Analytics at Microsoft</t>
  </si>
  <si>
    <t>Right-sizing resource allocation for big-data queries, particularly in serverless environments, is critical for improving infrastructure operational efficiency, capacity availability, query performance predictability, and for reducing unnecessary wait times. In this paper, we present AutoToken — a simple and effective predictor for estimating the peak resource usage of recurring big data queries. It uses multiple query plan identifiers to identify recurring query templates and to learn models with the goal of reducing over-allocation in future instances of those queries. AutoToken is computationally light, for both training and scoring, is easily deployable at scale, and is integrated with the Peregrine workload optimization infrastructure at Microsoft. We extensively evaluate AutoToken on SCOPE jobs from our production clusters and show that it outperforms state-of-the-art solutions for peak resource estimation. We also discuss our plans towards supporting repeatable and extensible research on resource prediction for SCOPE jobs, including describing a simulation methodology for generating arbitrary-sized datasets with similar characteristics as the production datasets. © VLDB Endowment. All rights reserved.</t>
  </si>
  <si>
    <t>Place: New York, NY, USA Publisher: Association for Computing Machinery</t>
  </si>
  <si>
    <t>ACM</t>
  </si>
  <si>
    <t>Publisher: VLDB Endowment</t>
  </si>
  <si>
    <t>Publisher: IEEE Press</t>
  </si>
  <si>
    <t>Zhang, Miao; Zhu, Yifei; Liu, Jiangchuan; Wang, Feng; Wang, Fangxin</t>
  </si>
  <si>
    <t>CharmSeeker: Automated Pipeline Configuration for Serverless Video Processing</t>
  </si>
  <si>
    <t>Video processing plays an essential role in a wide range of cloud-based applications. It typically involves multiple pipelined stages, which well fits the latest fine-grained serverless computing paradigm if properly configured to match the cost and delay constraints of video. Existing configuration tools, however, are primarily developed for traditional virtual machine clusters with general workloads. This paper presents CharmSeeker, an automated configuration tuning tool for serverless video processing pipelines. We first carefully examine the key steps and the performance bottlenecks for video processing over modern serverless platforms. Then, we identify the configuration space for processing pipelines and leverage a carefully designed Sequential Bayesian Optimization search scheme to identify promising configurations. We further address the practical challenges toward integrating our solution into real-world systems and develop a prototype with AWS Lambda. Evaluation results show that CharmSeeker can find out the optimal or near-optimal configurations that improve the relative processing time up to 408.77%. It is also more robust and scalable to various video processing pipelines compared with state-of-the-art solutions.</t>
  </si>
  <si>
    <t>Bian, Haoqiong; Sha, Tiannan; Ailamaki, Anastasia</t>
  </si>
  <si>
    <t>Using Cloud Functions as Accelerator for Elastic Data Analytics</t>
  </si>
  <si>
    <t>Cloud function (CF) services, such as AWS Lambda, have been applied as the new computing infrastructure in implementing analytical query engines. For bursty and sparse workloads, CF-based query engine is more elastic than the traditional query engines running in servers, i.e., virtual machines (VMs), and might provide a higher performance/price ratio. However, it is still controversial whether CF services are good suites for general analytical workloads, in respect of the limitations of CFs in storage, network, and lifetime, as well as the much higher resource unit prices than VMs.In this paper, we first present micro-benchmark evaluations of the features of CF and VM. We reveal that for query processing, though CF is more elastic than VM, it is less scalable and is more expensive for continuous workloads. Then, to get the best of both worlds, we propose Pixels-Turbo - a hybrid query engine that processes queries in a scalable VM cluster by default and invokes CFs to accelerate the processing of unpredictable workload spikes. In the query engine, we propose several optimizations to improve the performance and scalability of the CF-based operators and a cost-based optimizer to select the appropriate algorithm and parallelism for the physical query plan. Evaluations on TPC-H and real-world workload show that our query engine has a 1-2 orders of magnitude higher performance/price ratio than state-of-the-art serverless query engines for sustained workloads while not compromising the elasticity for workload spikes.</t>
  </si>
  <si>
    <t>Yang, Xinjun; Zhang, Yingqiang; Chen, Hao; Sun, Chuan; Li, Feifei; Zhou, Wenchao</t>
  </si>
  <si>
    <t>PolarDB-SCC: A Cloud-Native Database Ensuring Low Latency for Strongly Consistent Reads</t>
  </si>
  <si>
    <t>A classic design of cloud-native databases adopts an architecture that consists of one read/write (RW) node and one or more read-only (RO) nodes. In such a design, the propagation of write-ahead logs (WALs) from the RW node to the RO node(s) is typically performed asynchronously. Consequently, system designers either have to accept a loose consistency guarantee, where a read from the RO node may return stale data, or tolerate significant performance degradation in terms of read latency, as it then needs to wait for the log to be propagated and applied. Most commercial cloud-native databases, such as Amazon Aurora, choose performance over strong consistency. As a result, it makes RO nodes useless for many applications requiring read-after-write consistency (a form of strong consistency), and the support for serverless databases (i.e., allowing the RO nodes to be scaled out automatically) is impossible as they require a single endpoint.This paper proposes PolarDB-SCC (PolarDB-Strongly Consistent Cluster), a cloud-native database architecture that guarantees strongly consistent reads with very low latency. The core idea is to eliminate unnecessary waits and reduce the necessary wait time on RO nodes while still supporting strong consistency. To achieve this, it tracks the RW node's modification timestamp at three progressively finer-grained levels. We further design a Linear Lamport timestamp to reduce the RO node's timestamp fetching operations and leverage the RDMA network for all the data transferring (e.g., timestamp fetching and log shipment) to minimize network overhead and extra CPU usage. Our evaluation shows that PolarDB-SCC does not incur any noticeable overhead for ensuring strongly consistent reads compared with the eventually consistent (stale) read policy. To the best of our knowledge, PolarDB-SCC is the first "read-write splitting" cloud-native database that supports strongly consistent read with negligible overhead. Compared with a straightforward read-wait design, PolarDB-SCC improves throughput by up to 4.51× and reduces median latency by up to 3.66× in SysBench's read-write workload. PolarDB-SCC is already commercially available at Alibaba Cloud.</t>
  </si>
  <si>
    <t>Su, Yongye; Sun, Yinqi; Zhang, Minjia; Wang, Jianguo</t>
  </si>
  <si>
    <t>Vexless: A Serverless Vector Data Management System Using Cloud Functions</t>
  </si>
  <si>
    <t>Cloud functions, exemplified by AWS Lambda and Azure Functions, are emerging as a new computing paradigm in the cloud. They provide elastic, serverless, and low-cost cloud computing, making them highly suitable for bursty and sparse workloads, which are quite common in practice. Thus, there is a new trend in designing data systems that leverage cloud functions. In this paper, we focus on vector databases, which have recently gained significant attention partly due to large language models. In particular, we investigate how to use cloud functions to build high-performance and cost-efficient vector databases. This presents significant challenges in terms of how to perform sharding, how to reduce communication overhead, and how to minimize cold-start times.In this paper, we introduce Vexless, the first vector database system optimized for cloud functions. We present three optimizations to address the challenges. To perform sharding, we propose a global coordinator (orchestrator) that assigns workloads to Cloud function instances based on their available hardware resources. To overcome communication overhead, we propose the use of stateful cloud functions, eliminating the need for costly communications during synchronization. To minimize cold-start overhead, we introduce a workload-aware Cloud function lifetime management strategy. Vexless has been implemented using Azure Functions. Experimental results demonstrate that Vexless can significantly reduce costs, especially on bursty and sparse workloads, compared to cloud VM instances, while achieving similar or higher query performance and accuracy.</t>
  </si>
  <si>
    <t>Future Generation Computer Systems</t>
  </si>
  <si>
    <t>Science Direct</t>
  </si>
  <si>
    <t>Enes, Jonatan; Expósito, Roberto R.; Touriño, Juan</t>
  </si>
  <si>
    <t>Real-time resource scaling platform for Big Data workloads on serverless environments</t>
  </si>
  <si>
    <t>The serverless execution paradigm is becoming an increasingly popular option when workloads are to be deployed in an abstracted way, more specifically, without specifying any infrastructure requirements. Currently, such workloads are typically comprised of small programs or even a series of single functions used as event triggers or to process a data stream. Other applications that may also fit on a serverless scenario are stateless services that may need to seamlessly scale in terms of resources, such as a web server. Although several commercial serverless services are available (e.g., Amazon Lambda), their use cases are mostly limited to the execution of functions or scripts that can be adapted to predefined templates or specifications. However, current research efforts point out that it is interesting for the serverless paradigm to evolve from single functions and support more flexible infrastructure units such as operating-system-level virtualization in the form of containers. In this paper we present a novel platform to automatically scale container resources in real time, while they are running, and without any need for reboots. This platform is evaluated using Big Data workloads, both batch and streaming, as representative examples of applications that could be initially regarded as unsuitable for the serverless paradigm considering the currently available services. The results show how our serverless platform can improve the CPU utilization by up to 77% with an execution time overhead of only 6%, while remaining scalable when using a 32-container cluster.</t>
  </si>
  <si>
    <t>Zhang, Song; Luo, Xiaochuan; Litvinov, Eugene</t>
  </si>
  <si>
    <t>Serverless computing for cloud-based power grid emergency generation dispatch</t>
  </si>
  <si>
    <t>Operating a modern power grid reliably in case of SCADA/EMS failure or amid difficult times like COVID-19 pandemic is a challenging task for grid operators. In [11], a PMU-based emergency generation dispatch scheme has been proposed to help the system operators with the supply and demand balancing; however, its realization highly relies on the control center infrastructure for computing and communication. This work, rather than using the on-premises server and dispatch communication system, proposes and implements a cloud-centric serverless architecture to ensure the operation continuity regardless of local infrastructure’s availability and accessibility. Through its prototype implementation and evaluation at ISO New England, the solution has demonstrated two major advantages. Firstly, the cloud infrastructure is independent and fault-tolerant, providing grid monitoring and control capability even when EMS loses the corresponding functionality or when operators need to work remotely away from the control center. Secondly, the overall design is event-driven using serverless cloud services in response to the SCADA/EMS failure event. Thanks to “serverless”, the burden of the server provisioning and maintenance can be avoided from the user side. The cost of using public cloud services for this solution is extremely low since it is architected and implemented based on the event-driven Function-as-a-Service (FaaS) model. This work also develops a comprehensive cyber security mechanism to comply with critical infrastructure requirements for the power grid, which can serve as an exemplary framework for other grid operators to secure their cloud services.</t>
  </si>
  <si>
    <t>International Journal of Electrical Power &amp; Energy Systems</t>
  </si>
  <si>
    <t>Arjona, Aitor; López, Pedro García; Sampé, Josep; Slominski, Aleksander; Villard, Lionel</t>
  </si>
  <si>
    <t>Triggerflow: Trigger-based orchestration of serverless workflows</t>
  </si>
  <si>
    <t>As more applications are being moved to the Cloud thanks to serverless computing, it is increasingly necessary to support the native life cycle execution of those applications in the data center. But existing cloud orchestration systems either focus on short-running workflows (like IBM Composer or Amazon Step Functions Express Workflows) or impose considerable overheads for synchronizing massively parallel jobs (Azure Durable Functions, Amazon Step Functions). None of them are open systems enabling extensible interception and optimization of custom workflows. We present Triggerflow: an extensible Trigger-based Orchestration architecture for serverless workflows. We demonstrate that Triggerflow is a novel serverless building block capable of constructing different reactive orchestrators (State Machines, Directed Acyclic Graphs, Workflow as code, Federated Learning orchestrator). We also validate that it can support high-volume event processing workloads, auto-scale on demand with scale down to zero when not used, and transparently guarantee fault tolerance and efficient resource usage when orchestrating long running scientific workflows.</t>
  </si>
  <si>
    <t>Kaur, Rachneet; Schaye, Clara; Thompson, Kevin; Yee, Daniel C.; Zilz, Rachel; Sreenivas, R. S.; Sowers, Richard B.</t>
  </si>
  <si>
    <t>Machine learning and price-based load scheduling for an optimal IoT control in the smart and frugal home</t>
  </si>
  <si>
    <t>We pose and study a scheduling problem for an electric load to develop an Internet of Things (IoT) control system for power appliances, which takes advantage of real-time dynamic energy pricing. Using historical pricing data from a large U.S. power supplier, we study and compare several dynamic scheduling policies, which can be implemented in a smart home to activate a major appliance (dishwasher, washing machine, clothes dryer) at an optimal time of the day, to minimize electricity costs. We formulate our scheduling task as a supervised machine learning classification problem which activates the load during one of two preferred time bins. The features used in the machine learning problem are hourly market, spot and day-ahead prices along with delayed label of the prior day. We find that boosting tree-based algorithms outperform any other classification approach with measurable reduction of energy costs over certain types of naive and static policies. We observe that the delayed label has most predictive power across features, followed, on average, by spot, hourly market, and day-ahead energy prices. We further discuss implementation issues using a micro controller system coupled with cloud-based serverless computing and dynamic data storage. Our test system includes an interactive voice interface via an intelligent personal assistant.</t>
  </si>
  <si>
    <t>Energy and AI</t>
  </si>
  <si>
    <t>Sethunath, Meenakshi; Peng, Yang</t>
  </si>
  <si>
    <t>A joint function warm-up and request routing scheme for performing confident serverless computing</t>
  </si>
  <si>
    <t>Serverless computing has become increasingly popular recently due to its cost efficiency and flexibility. However, running serverless computing functions in the cloud can incur high end-to-end service latency and operational costs. Running them on edge servers may significantly reduce service latency but is limited by computing power and memory availability. Given the limitations of cloud and edge environments for performing serverless computing, this paper proposes a joint function warm-up and request routing scheme to perform serverless computing functions on edge and cloud collaboratively. The key idea of the new scheme is to maximize the hit ratio of serverless computing requests, thereby reducing the cold-start latency that dominates the overall serving latency. This scheme explicitly considers allocating server memory and operation budget for executing concurrent requests during the scheduling. The proposed scheme has been evaluated through extensive simulations. Its effectiveness has been proved by comparison with the upper-bound results.</t>
  </si>
  <si>
    <t>High-Confidence Computing</t>
  </si>
  <si>
    <t>Mampage, Anupama; Karunasekera, Shanika; Buyya, Rajkumar</t>
  </si>
  <si>
    <t>Deep reinforcement learning for application scheduling in resource-constrained, multi-tenant serverless computing environments</t>
  </si>
  <si>
    <t>Serverless computing has sparked a massive interest in both the cloud service providers and their clientele in recent years. This model entails the shift of the entire matter of resource management of user applications to the service provider. In serverless systems, the provider is highly motivated to attain cost efficient usage of their infrastructure, given the granular billing modules involved. However, due to the dynamic and multi-tenant nature of the serverless workloads and systems, achieving efficient resource management while maintaining function performance is a challenging task. Rapid changes in demand levels for applications cause variations in actual resource usage patterns of function instances. This leads to performance variations in co-located functions which compete for similar resources, due to resource contentions. Most existing serverless scheduling works offer heuristic techniques for function scheduling, which are unable to capture the true dynamism in these systems caused by multi-tenancy and varying user request patterns. Further, they rarely consider the often contradicting dual objectives of achieving provider resource efficiency along with application performance. In this article, we propose a novel technique incorporating Deep Reinforcement Learning (DRL) to overcome the aforementioned challenges for function scheduling in a highly dynamic serverless computing environment with heterogeneous computing resources. We train and evaluate our model in a practical setting incorporating Kubeless, an open-source serverless framework, deployed on a 23-node Kubernetes cluster setup. Extensive experiments done on this testbed environment show promising results with improvements of up to 24% and 34% in terms of application response time and resource usage cost respectively, compared to baseline techniques.</t>
  </si>
  <si>
    <t>Enabling Serverless Deployment of Large-Scale AI Workloads</t>
  </si>
  <si>
    <t>A. Christidis; S. Moschoyiannis; C. -H. Hsu; R. Davies</t>
  </si>
  <si>
    <t>We propose a set of optimization techniques for transforming a generic AI codebase so that it can be successfully deployed to a restricted serverless environment, without compromising capability or performance. These involve (1) slimming the libraries and frameworks (e.g., pytorch) used, down to pieces pertaining to the solution; (2) dynamically loading pre-trained AI/ML models into local temporary storage, during serverless function invocation; (3) using separate frameworks for training and inference, with ONNX model formatting; and, (4) performance-oriented tuning for data storage and lookup. The techniques are illustrated via worked examples that have been deployed live on geospatial data from the transportation domain. This draws upon a real-world case study in intelligent transportation looking at on-demand, real-time predictions of flows of train movements across the UK rail network. Evaluation of the proposed techniques shows the response time, for varying volumes of queries involving prediction, to remain almost constant (at 50 ms), even as the database scales up to the 250M entries. The query response time is important in this context as the target is predicting train delays. It is even more important in a serverless environment due to the stringent constraints on serverless functions' runtime before timeout. The similarities of a serverless environment to other resource constrained environments (e.g., IoT, telecoms) means the techniques can be applied to a range of use cases.</t>
  </si>
  <si>
    <t>IEEE Journals</t>
  </si>
  <si>
    <t>Modeling and Optimization of Performance and Cost of Serverless Applications</t>
  </si>
  <si>
    <t>C. Lin; H. Khazaei</t>
  </si>
  <si>
    <t>Function-as-a-Service (FaaS) and serverless applications have proliferated significantly in recent years because of their high scalability, ease of resource management, and pay-as-you-go pricing model. However, cloud users are facing practical problems when they migrate their applications to the serverless pattern, which are the lack of analytical performance and billing model and the trade-off between limited budget and the desired quality of service of serverless applications. In this article, we fill this gap by proposing and answering two research questions regarding the prediction and optimization of performance and cost of serverless applications. We propose a new construct to formally define a serverless application workflow, and then implement analytical models to predict the average end-to-end response time and the cost of the workflow. Consequently, we propose a heuristic algorithm named Probability Refined Critical Path Greedy algorithm (PRCP) with four greedy strategies to answer two fundamental optimization questions regarding the performance and the cost. We extensively evaluate the proposed models by conducting experimentation on AWS Lambda and Step Functions. Our analytical models can predict the performance and cost of serverless applications with more than 98 percent accuracy. The PRCP algorithms can achieve the optimal configurations of serverless applications with 97 percent accuracy on average.</t>
  </si>
  <si>
    <t>Operating Latency Sensitive Applications on Public Serverless Edge Cloud Platforms</t>
  </si>
  <si>
    <t>I. Pelle; J. Czentye; J. DÃ³ka; A. Kern; B. P. GerÅ‘; B. Sonkoly</t>
  </si>
  <si>
    <t>Cloud native programming and serverless architectures provide a novel way of software development and operation. A new generation of applications can be realized with features never seen before while the burden on developers and operators will be reduced significantly. However, latency sensitive applications, such as various distributed IoT services, generally do not fit in well with the new concepts and today's platforms. In this article, we adapt the cloud native approach and related operating techniques for latency sensitive IoT applications operated on public serverless platforms. We argue that solely adding cloud resources to the edge is not enough and other mechanisms and operation layers are required to achieve the desired level of quality. Our contribution is threefold. First, we propose a novel system on top of a public serverless edge cloud platform, which can dynamically optimize and deploy the microservice-based software layout based on live performance measurements. We add two control loops and the corresponding mechanisms which are responsible for the online reoptimization at different timescales. The first one addresses the steady-state operation, while the second one provides fast latency control by directly reconfiguring the serverless runtime environments. Second, we apply our general concepts to one of today's most widely used and versatile public cloud platforms, namely, Amazon's AWS, and its edge extension for IoT applications, called Greengrass. Third, we characterize the main operation phases and evaluate the overall performance of the system. We analyze the performance characteristics of the two control loops and investigate different implementation options.</t>
  </si>
  <si>
    <t>Astrea: Auto-Serverless Analytics Towards Cost-Efficiency and QoS-Awareness</t>
  </si>
  <si>
    <t>J. Jarachanthan; L. Chen; F. Xu; B. Li</t>
  </si>
  <si>
    <t>With the ability to simplify the code deployment with one-click upload and lightweight execution, serverless computing has emerged as a promising paradigm with increasing popularity. However, there remain open challenges when adapting data-intensive analytics applications to the serverless context, in which users of serverless analytics encounter the difficulty in coordinating computation across different stages and provisioning resources in a large configuration space. This paper presents our design and implementation of Astrea, which configures and orchestrates serverless analytics jobs in an autonomous manner, while taking into account flexibly-specified user requirements. Astrea relies on the modeling of performance and cost which characterizes the intricate interplay among multi-dimensional factors (e.g., function memory size, degree of parallelism at each stage). We formulate an optimization problem based on user-specific requirements towards performance enhancement or cost reduction, and develop a set of algorithms based on graph theory to obtain the optimal job execution. We deploy Astrea in the AWS Lambda platform and conduct real-world experiments over representative benchmarks, including Big Data analytics and machine learning workloads, at different scales. Extensive results demonstrate that Astrea can achieve the optimal execution decision for serverless data analytics, in comparison with various provisioning and deployment baselines. For example, when compared with three provisioning baselines, Astrea manages to reduce the job completion time by 21% to 69% under a given budget constraint, while saving cost by 20% to 84% without violating performance requirements.</t>
  </si>
  <si>
    <t>HealthFaaS: AI-Based Smart Healthcare System for Heart Patients Using Serverless Computing</t>
  </si>
  <si>
    <t>M. Golec; S. S. Gill; A. K. Parlikad; S. Uhlig</t>
  </si>
  <si>
    <t>Heart disease is one of the leading causes of death worldwide, and with early detection, mortality rates can be reduced. Well-known studies have shown that the latest artificial intelligence (AI) can be used to determine the risk of heart disease. However, existing studies did not consider dynamic scalability to get the best performance from these AI models in case of an increasing number of users. To solve this problem, we proposed an AI-powered smart healthcare framework called HealthFaaS, using the Internet of Things (IoT) and a Serverless Computing environment to reduce heart disease-related deaths and prevent financial losses by reducing misdiagnoses. HealthFaaS framework collects health data from users via IoT devices and sends it to AI models deployed on a Google Cloud Platform (GCP)-based serverless computing environment due to its advantages, such as dynamic scalability, less operational complexity, and a pay-as-you-go pricing model. The performance of five different AI models for heart disease risk detection is evaluated and compared based on key parameters, such as accuracy, precision, recall,  $F$ -Score, and AUC. Experimental results demonstrate that the light gradient boosting machine model gives the highest success in detecting heart diseases with an accuracy rate of 91.80%. Further, we have tested the performance of the HealthFaaS framework in terms of Quality-of-Service (QoS) parameters, such as throughput and latency against the increasing number of users and compared it with a non-serverless platform. In addition, we have also evaluated the cold start latency using a serverless platform which determined that the amount of memory and the software language makes a direct impact on the cold start latency.</t>
  </si>
  <si>
    <t>Configuration and Placement of Serverless Applications Using Statistical Learning</t>
  </si>
  <si>
    <t>A. Raza; N. Akhtar; V. Isahagian; I. Matta; L. Huang</t>
  </si>
  <si>
    <t>Serverless Cold Start Performance Optimization Based on Multi-Request Processing and Adaptive Hierarchical Scaling</t>
  </si>
  <si>
    <t>L. Yu; L. Fu; S. Chenhao</t>
  </si>
  <si>
    <t>Serverless has gained significant attention due to its advantages of high elasticity, low cost, and reduced operational overhead. However, the cold start problem severely constrains its performance and user experience. This paper proposes an innovative hierarchical startup optimization scheme that introduces a critical parameter called scaling threshold based on multi-concurrency execution within a single instance. By employing fine-grained instance concurrency control and adaptive scaling, this approach reduces the probability of cold starts while maintaining resource utilization efficiency. We systematically present the optimization principles, controller design, and implementation details of the hierarchical startup scheme. Extensive experiments are conducted to evaluate the proposed scheme for various types of Serverless applications. The results demonstrate that the hierarchical startup scheme significantly improves the cold start performance of Serverless applications, further reducing the cold start rate by 18.4% to 25.6% and the average response time by 8.9% to 27.5%. Further theoretical analysis and experimental data confirm the rationality and effectiveness of the schemeâ€™s design. The research findings enrich the theory and methods of cold start optimization in Serverless and hold significant value for enhancing Serverless application performance and promoting the widespread adoption of Serverless.</t>
  </si>
  <si>
    <t>BaaSLess: Backend-as-a-Service (BaaS)-Enabled Workflows in Federated Serverless Infrastructures</t>
  </si>
  <si>
    <t>T. Larcher; P. Gritsch; S. Nastic; S. Ristov</t>
  </si>
  <si>
    <t>Serverless is a popular paradigm for expressing compute-intensive applications as serverless workflows. In practice, a significant portion of the computing is typically offloaded to various Backend-as-a-Service (BaaS) cloud services. The recent rise of federated serverless and Sky computing offers cost and performance advantages for these BaaS-enabled serverless workflows. However, due to vendor lock-in and lack of service interoperability, many challenges remain that impact the development, deployment, and scheduling of BaaS-enabled serverless workflows in federated serverless infrastructures. This paper introduces BaaSLess â€“ a novel platform that delivers global and dynamic federated BaaS to serverless workflows. BaaSLess provides: i) a novel SDK for uniform and dynamic access to federated BaaS services, reducing the complexity associated with the development of BaaS-enabled serverless workflows, ii) a novel globally-federated serverless BaaS framework that delivers a suite of BaaS-less ML services, including text-to-speech, speech-to-text, translation, and OCR, together with a globally-federated storage infrastructure, comprising AWS and Google cloud providers, and iii) a novel model and an algorithm for scheduling BaaS-enabled serverless workflows to improve their performance. Experimental results using three complementary BaaS-enabled serverless workflows show that BaaSLess improves workflow execution time by up to $2.95\times$2.95Ã— compared to the state-of-the-art serverless schedulers, often at a lower cost.</t>
  </si>
  <si>
    <t>Function Delivery Network: A Spatial-Temporal Execution Orchestrator for Optimizing Serverless Computing</t>
  </si>
  <si>
    <t>J. R. Corporan; A. Bahga; V. K. Madisetti</t>
  </si>
  <si>
    <t>We present Function Delivery Network (FDN), a novel spatial-temporal execution orchestrator designed to address key limitations in current serverless computing models. The FDN introduces several innovations, including a multi-tenant serverless model, a secure and reusable functional context, and distributed shared memory, to optimize resource allocation and improve performance in high-concurrency and globally distributed scenarios. We implement the FDN on a major cloud platform and evaluate its performance against traditional Function-as-a-Service (FaaS) execution using a variety of benchmark functions. Our results demonstrate significant improvements in resource utilization, execution time, and request completion rates. The FDN reduces function instance allocation by up to 97.82%, improves median response times by 45.45%, and maintains higher request completion rates at high concurrency levels compared to native FaaS execution. The FDNâ€™s adaptive execution window mechanism allows for fine-tuned optimization based on function characteristics and workload patterns. This approach effectively addresses challenges such as cold starts, inefficient resource allocation, and scalability limitations in current serverless platforms. By providing a more efficient and scalable model for serverless computing, the FDN enables more cost-effective and performant cloud-native applications, particularly in scenarios involving high concurrency and global distribution.</t>
  </si>
  <si>
    <t>An Online Algorithm for Inference Service Scheduling Using Combinations of Server-Based and Serverless Instances in Cloud Environments</t>
  </si>
  <si>
    <t>S. Liu; L. Pan; S. Liu; K. Qi</t>
  </si>
  <si>
    <t>With the continuous development in the field of machine learning, there is an increasing demand for the cloud-based machine learning inference services, which are latency-sensitive tasks, such as the service requests from the Internet of Things (IoT) devices. These inference services are generally accompanied by fluctuations and uncertainties, so they often require vastly varied numbers of servers at different time spots. As a result, how to dynamically and rationally schedule cloud servers for inference services has become an important issue. Alibaba Cloud currently provides its serverless instances called elastic container instance (ECI), and due to the advantages of pay-as-you-go billing and second-level elasticity, they are well-suited for handling bursty or fluctuating workloads. At the same time, Alibaba Cloudâ€™s subscription-based elastic compute service (ECS) instances can be used for steady-state workloads. Our objective is to dynamically combine these two types of instances to deal with inference service requests. In this article, we propose a deterministic online algorithm that can rationally schedule these two types of instances to optimize costs without requiring knowledge of future workloads. We prove that the proposed online algorithm achieves a competitive ratio of no more than 2 compared to the optimal offline algorithm. Through simulation experiments, we demonstrate that our algorithm outperforms three benchmarks, which are all-reserved algorithm, all-on-demand algorithm, and traditional online algorithms that only use ECS instances. Our algorithm exhibits superiority across various workloads and can significantly reduces costs in most cases.</t>
  </si>
  <si>
    <t>MDPI</t>
  </si>
  <si>
    <t>Albayati, Ammar; Abdullah, Nor Fadzilah; Abu-Samah, Asma; Mutlag, Ammar Hussein; Nordin, Rosdiadee</t>
  </si>
  <si>
    <t>A Serverless Advanced Metering Infrastructure Based on Fog-Edge Computing for a Smart Grid: A Comparison Study for Energy Sector in Iraq</t>
  </si>
  <si>
    <t>Energies</t>
  </si>
  <si>
    <t>The development of the smart grid (SG) has the potential to bring significant improvements to the energy generation, transmission, and distribution sectors. Hence, adequate handling of fluctuating energy demands is required. This can only be achieved by implementing the concept of transactive energy. Transactive energy aims to optimize energy production, transmission, and distribution combined with next-generation hardware and software, making it a challenge for implementation at a national level, and to ensure the effective collaboration of energy exchange between consumers and producers, a serverless architecture based on functionality can make significant contributions to the smart grids advanced metering infrastructure (SG-AMI). In this paper, a scalable serverless SG-AMI architecture is proposed based on fog-edge computing, virtualization consideration, and Function as a service (FaaS) as a services model to increase the operational flexibility, increase the system performance, and reduce the total cost of ownership. The design was benchmarked against the Iraqi Ministry of Electricity (MOELC) proposed designs for the smart grid, and it was evaluated based on the MOELC traditional computing-design, and a related cloud computing-based design. The results show that our proposed design offers an improvement of 20% to 65% performance on network traffic load, latency, and time to respond, with a reduction of 50% to 67% on the total cost of ownership, lower power and cooling consumption compared to the SG design proposed by MOELC. From this paper, it can be observed that a robust roadmap for SG-AMI architecture can effectively contribute towards increasing the scalability and interoperability, automation, and standardization of the energy sector.</t>
  </si>
  <si>
    <t>Akour, Mohammed; Alenezi, Mamdouh</t>
  </si>
  <si>
    <t>Reducing Environmental Impact with Sustainable Serverless Computing</t>
  </si>
  <si>
    <t>Sustainability</t>
  </si>
  <si>
    <t>Serverless computing has emerged as a transformative paradigm in cloud computing, offering scalability, cost efficiency, and potential environmental benefits. By abstracting infrastructure management and enabling on-demand resource allocation, serverless computing minimizes idle resource consumption and reduces operational overhead. This paper critically examines the sustainability implications of serverless computing, evaluating its impact on energy efficiency, resource utilization, and carbon emissions through empirical studies and a survey of cloud professionals. Our findings indicate that serverless computing significantly reduces energy consumption by up to 70% and operational costs by up to 60%, reinforcing its role in green IT initiatives. However, real-world deployments face challenges such as cold-start latency and workload-dependent inefficiencies, which impact overall sustainability benefits. To address these challenges, we propose strategic recommendations, including fine-grained function decomposition, energy-efficient cloud provider selection, and AI-driven resource management. Additionally, we highlight discrepancies between empirical research and practitioner experiences, emphasizing the need for optimized architectures in order to fully harness the sustainability potential of serverless computing. This study provides a foundation for future research, particularly in integrating machine learning and AI-driven optimizations to enhance energy efficiency and performance in serverless environments.</t>
  </si>
  <si>
    <t>Web of Science</t>
  </si>
  <si>
    <t>Singh, P; Kaur, A; Gill, SS</t>
  </si>
  <si>
    <t>Machine learning for cloud, fog, edge and serverless computing environments: comparisons, performance evaluation benchmark and future directions</t>
  </si>
  <si>
    <t>The compute-intensive and latency-sensitive Internet of Things (IoT) applications need to utilise the services from various computing paradigms, but they are facing many challenges such as large value of latency, energy and network bandwidth. To analyse and understand these challenges, we designed a performance evaluation benchmark which integrates Cloud, Fog, Edge and Serverless computing to conduct a comparative study for IoT-based healthcare application. It gives the platform for the developers to design IoT applications based on user guidelines to run various applications concurrently on different paradigms. Furthermore, we used recent machine learning techniques for the optimisation of resources, energy, cost and overheads to identify the best technique based on important Quality of Service parameters. Experimental results show that serverless computing performs better than non-serverless in terms of energy, latency, bandwidth, response time and scalability by 3.8%, 3.2%, 4.3%, 1.5% and 2.7%, respectively. Finally, various promising future directions are highlighted.</t>
  </si>
  <si>
    <t>Mahgoub, A; Yi, EB; Shankar, K; Minocha, E; Elnikety, S; Bagchi, S; Chaterji, S</t>
  </si>
  <si>
    <t>WiseFuse: Workload Characterization and DAG Transformation for ServerlessWorkflows</t>
  </si>
  <si>
    <t>We characterize production workloads of serverless DAGs at a major cloud provider. Our analysis highlights two major factors that limit performance: (a) lack of efficient communication methods between the serverless functions in the DAG, and (b) stragglers when a DAG stage invokes a set of parallel functions that must complete before starting the next DAG stage. To address these limitations, we propose WiseFuse, an automated approach to generate an optimized execution plan for serverless DAGs for a user-specified latency objective (SLO) or cost budget. We introduce three optimizations: (1) Fusion combines in-series functions together in a single VM to reduce the communication overhead between cascaded functions. (2) Bundling executes a group of parallel invocations of a function in one VM to improve resource sharing among the parallel invocations to reduce skew. (3) Resource Allocation assigns the right size to each VM hosting a function or a group of functions to reduce the latency and cost of invoking the serverless DAG. We implement WiseFuse and evaluate it experimentally using three serverless applications, namely, Video Analytics, Approximate SVD, and ML Analytics, which span different DAG structures, memory footprints, and intermediate data sizes. In comparison to competing approaches, WiseFuse shows significant improvements in E2E latency and cost. Specifically, for the ML pipeline, WiseFuse achieves a P95 latency that is 67% lower than Photons [SoCC-20], 39% lower than Faastlane [USENIX ATC-21], and 90% lower than Sonic [USENIX ATC-21], without increasing the $ cost.</t>
  </si>
  <si>
    <t>Katare, D; Marin, E; Kourtellis, N; Janssen, M; Ding, AY</t>
  </si>
  <si>
    <t>ARASEC: Adaptive Resource Allocation and Model Training for Serverless EdgeCloud Computing</t>
  </si>
  <si>
    <t>Developing and deploying resource-aware artificial intelligence (AI) models presents a compelling optimization challenge in edge computing and serverless domains. Current research focuses mainly on scalable training and inference that uses serverless frameworks to optimize operational costs. However, these approaches often overlook the challenges of heterogeneous-aware training and overall cost optimization, including computing, memory, and communication. Our work introduces a framework for a heterogeneous edge environment, focusing on the model and key performance metrics like accuracy, floating-point operations per second, number of parameters, and latency. This framework enables distributed training within a serverless architecture. Further, it explores the construction of machine learning models from existing serverless functions using a lookup table while estimating AI model training in edge, cloud, or hybrid settings. We test the framework on object detection tasks in AI model development and deployment by using serverless operations.</t>
  </si>
  <si>
    <t>Scoope</t>
  </si>
  <si>
    <t>Method/Technique</t>
  </si>
  <si>
    <t>ONNX model</t>
  </si>
  <si>
    <t>LR for (112) studies</t>
  </si>
  <si>
    <t>Big data on Serverless platform</t>
  </si>
  <si>
    <t>platform to automatically scale container resources in real time</t>
  </si>
  <si>
    <t>IoT</t>
  </si>
  <si>
    <t>AI in cloud-based serverless</t>
  </si>
  <si>
    <t>(PRCP) heuristic algorithm named Probability Refined Critical Path Greedy algorithm</t>
  </si>
  <si>
    <t>IoT applications on edge serverless platfrom</t>
  </si>
  <si>
    <t>public serverless edge cloud platform</t>
  </si>
  <si>
    <t>serverless computing model</t>
  </si>
  <si>
    <t xml:space="preserve">container scheduling system </t>
  </si>
  <si>
    <t>healthcare on serverless computing platform</t>
  </si>
  <si>
    <t>PMU-based emergency generation dispatch scheme/comprehensive cyber security mechanism</t>
  </si>
  <si>
    <t>Triggerflow: an extensible Trigger-based Orchestration architecture for serverless workflows</t>
  </si>
  <si>
    <t xml:space="preserve"> joint function warm-up and request routing scheme</t>
  </si>
  <si>
    <t>T</t>
  </si>
  <si>
    <t>C</t>
  </si>
  <si>
    <t>L</t>
  </si>
  <si>
    <t>W</t>
  </si>
  <si>
    <t>Literature Review paper</t>
  </si>
  <si>
    <t>S</t>
  </si>
  <si>
    <t>DRL</t>
  </si>
  <si>
    <t>IoT / ML</t>
  </si>
  <si>
    <t>ML</t>
  </si>
  <si>
    <t>Systematic review paper / ML</t>
  </si>
  <si>
    <t>AI/ HEALTHCARE / IoT</t>
  </si>
  <si>
    <t>edge and cloud serverless computing</t>
  </si>
  <si>
    <t>Karim S.; Qureshi K.N.; Ibrahim A.O.; Abulfaraj A.W.; Ghafoor K.Z.</t>
  </si>
  <si>
    <t>Enhanced centroid-based energy-efficient clustering routing protocol for serverless based wireless sensor networks</t>
  </si>
  <si>
    <t>Serverless computing is a new concept as cloud computing, which dynamically manages the networks and is applied in Serverless Wireless Sensor Networks (SWSN) to help the networks. These networks are becoming famous for monitoring various physical and environmental factors. Serverless computing also facilitates the networks by offering an extensive range of applications. Different applications have been designed for monitoring purposes where the sensor nodes sense the data and transmit it to the base station through single or multi-hop routing. However, existing routing protocols cannot manage the sensor nodes’ energy issues because of the complex routing processes and depleted their power before their time. Because of these limitations, the nodes close to BS continuously rely on the network for data forwarding. As a result, these nodes cause energy consumption and lead to a useless state. This paper proposes a serverless architecture and designs an Enhanced Centroid-based Energy Efficient Clustering (ECEEC) protocol for SWSN networks. The proposed serverless architecture provides automated scalability, cost-effective services, and stateless execution. In addition, the proposed protocol offers the cluster head selection and its rotation to maximize the energy efficiency in the network. Furthermore, gateway nodes are chosen in every cluster to overcome the load on the cluster head. Simulation results indicated the excellent performance of the proposed protocol as compared to the existing routing protocols concerning network lifetime and energy consumption. The proposed protocol shows better reliability with nodes failing at 650 rounds compared to 600 rounds, especially with 5 % and 10 % Cluster Heads. The proposed protocol exhibits superior energy efficiency consumption of SNs under varying CH percentages, indicating the protocol's consistent performance across different scenarios. © 2024 The Author(s)</t>
  </si>
  <si>
    <t>Lu X.; Li N.; Yuan L.; Zhang J.</t>
  </si>
  <si>
    <t>Enhancing Resource Utilization Efficiency in Serverless Education: A Stateful Approach with Rofuse</t>
  </si>
  <si>
    <t>Traditional container orchestration platforms often suffer from resource wastage in educational settings, and stateless serverless services face challenges in maintaining container state persistence during the teaching process. To address these issues, we propose a stateful serverless mechanism based on Containerd and Kubernetes, focusing on optimizing the startup process for container groups. We first implement a checkpoint/restore framework for container states, providing fundamental support for managing stateful containers. Building on this foundation, we propose the concept of “container groups” to address the challenges in educational practice scenarios characterized by a large number of similar containers on the same node. We then propose the Rofuse optimization mechanism, which employs delayed loading and block-level deduplication techniques. This enables containers within the same group to reuse locally cached file system data at the block level, thus reducing container restart latency. Experimental results demonstrate that our stateful serverless mechanism can run smoothly in typical educational practice scenarios, and Rofuse reduces the container restart time by approximately 50% compared to existing solutions. This research provides valuable exploration for serverless practices in the education domain, contributing new perspectives and methods to improve resource utilization efficiency and flexibility in teaching environments. © 2024 by the authors.</t>
  </si>
  <si>
    <t>Datta, Somoshree; Addya, Sourav Kanti; Ghosh, Soumya K.</t>
  </si>
  <si>
    <t>ESMA: Towards elevating system happiness in a decentralized serverless edge computing framework</t>
  </si>
  <si>
    <t>Due to the rapid growth in the adoption of numerous technologies, such as smartphones and the Internet of Things (IoT), edge and serverless computing have started gaining momentum in today's computing infrastructure. It has led to the production of huge amounts of data and has also resulted in increased network traffic, which if not managed well can cause network congestion. To address this and maintain the quality of service (QoS), in this work, a novel dispatch (destination selection) algorithm called Egalitarian Stable Matching Algorithm (ESMA) for faster data processing has been developed while also considering the best use of server resources in a decentralized Serverless-Edge environment. This will allow us to effectively utilize the enormous volumes of data that are generated. The proposed algorithm has been able to achieve lower overall dissatisfaction scores for the entire system. Individually, the client's happiness as well as the server's happiness have improved over the baseline. Moreover, there has been a drop of 25.7% in the total execution time and the total network resources consumed are lower as compared to the baseline algorithm as well as random-allocation algorithm.</t>
  </si>
  <si>
    <t>Journal of Parallel and Distributed Computing</t>
  </si>
  <si>
    <t>Mirampalli S.; Wankar R.; Srirama S.N.</t>
  </si>
  <si>
    <t>Evaluating NiFi and MQTT based serverless data pipelines in fog computing environments</t>
  </si>
  <si>
    <t>Recent advancements in Internet of Things (IoT) technology have driven massive amounts of raw data. Due to the hardware limitations of the constraint IoT environments, we cannot fully perform all data analytical tasks in the local environment. In contrast, data transferring, storing, and processing in the cloud suffer from cloud cost, latency and security issues. In this context, we require a multi-layer data processing environment to balance all these issues. Data pipeline concepts allow data processing between source and destination on multiple fog devices. On the other hand, IoT applications are event-driven. So, building these apps in a serverless computing manner minimizes operational and billing costs. Moreover, this provides flexibility to deploy tasks anywhere, irrespective of the underlying operating system. In this paper, we investigated two serverless data pipeline approaches designed with Message Queuing Telemetry Transport (MQTT) and Apache NiFi. Our proposed approaches were tested with the image streaming data, where we performed object detection in the images. Our experimental results compared these two approaches regarding pipeline execution time, memory and CPU usage. The results conclude that the Apache NiFi-based serverless data pipeline consumes more CPU than MQTT-based serverless data pipeline, however outperforms it in terms of execution time and memory utilization. © 2023 Elsevier B.V.</t>
  </si>
  <si>
    <t>Talluri, Sacheendra; Herbst, Nikolas; Abad, Cristina; Matteis, Tiziano De; Iosup, Alexandru</t>
  </si>
  <si>
    <t>ExDe: Design space exploration of scheduler architectures and mechanisms for serverless data-processing</t>
  </si>
  <si>
    <t>Serverless computing is increasingly used for data-processing applications in both science and business domains. At the core of serverless data-processing systems is the scheduler, which ensures dynamic decisions about task and data placement. Due to the variety of user, cluster, and workload properties, the design space for high-performance and cost-effective scheduling architectures and mechanisms is vast. The large design space is difficult to explore and characterize. To help the system designer disentangle this complexity, we present ExDe, a framework to systematically explore the design space of scheduling architectures and mechanisms. The framework includes a conceptual model and a simulator to assist in design space exploration. We use the framework, and real-world workloads, to characterize the performance of three scheduling architectures and two mechanisms. Our framework is open-source software available on Zenodo.</t>
  </si>
  <si>
    <t>J. VepsÃ¤lÃ¤inen; P. Vuorimaa; A. Hellas</t>
  </si>
  <si>
    <t>The Potential of Serverless Edge-Powered Islands for Web Development</t>
  </si>
  <si>
    <t>Web developers face two significant challenges when developing their applications and websites: latency and payload size. Given that web services rely on servers, the related communication incurs a cost in terms of latency. In contrast, the payload passed to the client incurs a communication cost, not to mention the computational cost to the client. The concept of serverless edge computing, built on top of content delivery networks (CDNs), is an approach that has begun to gain the attention of web developers for its promise of lower latencies due to its efficiencies in communication thanks to globally distributed networks and replication. Islands architecture is a technical approach that addresses payload size by giving developers easy ways to defer and potentially even avoid the cost of loading content. Combined, these two approaches form edge-powered islands and, in this article, we examine how the combination can help to address these two notable costs web developers have to consider in their daily work. Our findings indicate that edge-powered islands can provide a way to introduce interactivity to otherwise static websites while wrapping dynamic portions of a page within islands to gain the benefits of static approaches in more dynamic contexts, such as storefronts. In addition, islands can provide loading benefits even for more application-like websites, such as social networks, and give web developers an additional control layer in their development work.</t>
  </si>
  <si>
    <t>River Publishers Journals</t>
  </si>
  <si>
    <t>Huang X.; Gu R.; Huang Y.</t>
  </si>
  <si>
    <t>Towards Efficient Serverless MapReduce Computing on Cloud-Native Platforms</t>
  </si>
  <si>
    <t>MapReduce is one of the most classic and powerful parallel computing models in the field of big data. It is still active in the big data system ecosystem and is currently evolving towards cloud-native environment. Among them, due to its elasticity and ease-to-use, Serverless computing is one of the most promising directions of cloud-native technology. To support MapReduce big data computing capabilities in a Serverless environment can give full play to Serverless's advantages. However, due to different underlying system architecture, three issues will be encountered when running MapReduce jobs in the Serverless environment. Firstly, the scheduling strategy is difficult to fully utilize the available resources. Secondly, reading Shuffle index data on cloud storage is inefficient and expensive. Thirdly, cloud storage Input/Output (I/O) request latency has a long tail effect. To solve these problems, this paper proposes three strategies with a MapReduce parallel processing framework in Serverless environment. Experimental results show that compared with cutting-edge systems, our approach shortens job execution time by 25.6% on average and reduces job execution costs by 17.3%. © 2018 Tsinghua University Press.</t>
  </si>
  <si>
    <t>Salcedo-Navarro A.; Peña-Ortiz R.; Claver J.M.; Garcia-Pineda M.; Gutiérrez-Aguado J.</t>
  </si>
  <si>
    <t>Towards GPU-enabled serverless cloud edge platforms for accelerating HEVC video coding</t>
  </si>
  <si>
    <t>Multimedia streaming has become integral to modern living, reshaping entertainment consumption, information access, and global engagement. The ascent of cloud computing, particularly serverless architectures, plays a pivotal role in this transformation, offering dynamic resource allocation, parallel execution, and automatic scaling-especially beneficial in HTTP Adaptive Streaming (HAS) applications. This study presents an event-driven serverless cloud edge platform with graphics processing units (GPUs), managed by Knative, tailored for video encoding. Two implementations of the High Efficiency Video Coding (HEVC) codec have been encapsulated in the functions: HEVC NVENC (Nvidia Encoder), that uses GPU acceleration, and x265 that only uses CPUs. Experiments focused on measuring the impact of replica requested resources on cold start, scalability and resource consumption with different allocated resources on slim and fat virtual machines (VMs). The best results are obtained when four slim replicas of the functions are deployed on a fat VM with a 8.4% reduction in encoding time for x265 and a 15.2% improvement for HEVC NVENC compared with other deployment scenarios. Comparatively, HEVC NVENC encoding is 8.3 times faster than x265. In multiresolution scenarios, GPU encoding drastically reduces segment encoding time by a factor of 12.4 between non-GPU and GPU-accelerated. These findings are important for live streaming applications where low latency is critical at all stages of the streaming process. © The Author(s) 2024.</t>
  </si>
  <si>
    <t>Kumari A.; Sahoo B.</t>
  </si>
  <si>
    <t>ACPM: adaptive container provisioning model to mitigate serverless cold-start</t>
  </si>
  <si>
    <t>In recent years, serverless computing has emerged as a new cloud service model that provides an elegant computing framework for application development. It allows developers to focus solely on application logic without having to worry about the underlying infrastructure or execution environment. One of the most attractive features of serverless computing is scale-to-zero, where function instances are immediately released as soon as they complete their execution. This makes the computing model more cost-effective. However, when a new function request arrives, a container must be prepared from scratch, including initialization, configuration, and loading of required libraries and packages. This requires additional startup time, also known as cold-start delay, which can degrade the performance of the computing framework. This paper proposes an integrated model, called adaptive container provisioning model (ACPM), to reduce cold-start latency through runtime provisioning of containers. ACPM promises to reduce the frequency of cold-starts and delay due to cold-start, improving the overall performance of serverless execution. It consists of two phases. In the first phase, an efficient deep learning model, such as long short term memory (LSTM), is used to predict the required number of pre-warmed containers in advance, which can be served as soon as the function request arrives. This phase is integrated with a container placement module for faster delivery of a container to minimize the frequency of cold-start delay. The second phase is based on a sandboxing mechanism where groups of similar functions can be placed in a single container instead of creating a separate container for each incoming request. ACPM drastically reduces cold-start delay and improves overall performance. The effectiveness of ACPM has been extensively compared with standard approaches such as container-sharing, container-reuse, pre-warming, restore-based, etc. From the experiment, it can be observed that ACPM outperforms other existing models in reducing cold-start latency. © The Author(s), under exclusive licence to Springer Science+Business Media, LLC, part of Springer Nature 2023.</t>
  </si>
  <si>
    <t>Sabbioni A.; Rosa L.; Bujari A.; Foschini L.; Corradi A.</t>
  </si>
  <si>
    <t>DIFFUSE: A DIstributed and decentralized platForm enabling Function composition in Serverless Environments</t>
  </si>
  <si>
    <t>Serverless computing is an emerging proposition in the cloud offering landscape that promotes a higher level of abstraction, further decoupling software operations from the underlying hardware. Often recognized as an economically driven computational approach, the serverless model relies on the execution of short-lived stateless functions, enabling a fine-grained accounting and control of resources. In this context, function composition represents an appealing feature, allowing the composition of two or more functions to create tailored processing pipelines, incentivizing modularity and reusability of functions, while paving the way to application-specific run-time optimizations. This work presents DIFFUSE: a DIstributed and decentralized platForm enabling Function composition in Serverless Environments. DIFFUSE embodies an innovative infrastructural support, enabling the efficient and transparent composition of functions by relying on pluggable middleware support, serving as a conveyor of messages among the platform components. Broadening the deployment spectrum of our proposal, we assess different middleware solutions, each presenting distinct delivery profiles, evidencing the tradeoffs that emerge. © 2022 Elsevier B.V.</t>
  </si>
  <si>
    <t>Burckhardt, Sebastian; Chandramouli, Badrish; Gillum, Chris; Justo, David; Kallas, Konstantinos; McMahon, Connor; Meiklejohn, Christopher S.; Zhu, Xiangfeng</t>
  </si>
  <si>
    <t>Netherite: efficient execution of serverless workflows</t>
  </si>
  <si>
    <t>Serverless is a popular choice for cloud service architects because it can provide scalability and load-based billing with minimal developer effort. Functions-as-a-service (FaaS) are originally stateless, but emerging frameworks add stateful abstractions. For instance, the widely used Durable Functions (DF) allow developers to write advanced serverless applications, including reliable workflows and actors, in a programming language of choice. DF implicitly and continuosly persists the state and progress of applications, which greatly simplifies development, but can create an IOps bottleneck.To improve efficiency, we introduce Netherite, a novel architecture for executing serverless workflows on an elastic cluster. Netherite groups the numerous application objects into a smaller number of partitions, and pipelines the state persistence of each partition. This improves latency and throughput, as it enables workflow steps to group commit, even if causally dependent. Moreover, Netherite leverages FASTER's hybrid log approach to support larger-than-memory application state, and to enable efficient partition movement between compute hosts.Our evaluation shows that (a) Netherite achieves lower latency and higher throughput than the original DF engine, by more than an order of magnitude in some cases, and (b) that Netherite has lower latency than some commonly used alternatives, like AWS Step Functions or cloud storage triggers.</t>
  </si>
  <si>
    <t>Tütüncüoğlu, Feridun; Jošilo, Sla\djana; Dán, György</t>
  </si>
  <si>
    <t>Online Learning for Rate-Adaptive Task Offloading Under Latency Constraints in Serverless Edge Computing</t>
  </si>
  <si>
    <t>We consider the interplay between latency constrained applications and function-level resource management in a serverless edge computing environment. We develop a game theoretic model of the interaction between rate adaptive applications and a load balancing operator under a function-oriented pay-as-you-go pricing model. We show that under perfect information, the strategic interaction between the applications can be formulated as a generalized Nash equilibrium problem, and use variational inequality theory to prove that the game admits an equilibrium. For the case of imperfect information, we propose an online learning algorithm for applications to maximize their utility through rate adaptation and resource reservation. We show that the proposed algorithm can converge to equilibria and achieves zero regret asymptotically, and our simulation results show that the algorithm achieves good system performance at equilibrium, ensures fast convergence, and enables applications to meet their latency constraints.</t>
  </si>
  <si>
    <t>Liu, Xuanzhe; Wen, Jinfeng; Chen, Zhenpeng; Li, Ding; Chen, Junkai; Liu, Yi; Wang, Haoyu; Jin, Xin</t>
  </si>
  <si>
    <t>FaaSLight: General Application-level Cold-start Latency Optimization for Function-as-a-Service in Serverless Computing</t>
  </si>
  <si>
    <t>Serverless computing is a popular cloud computing paradigm that frees developers from server management. Function-as-a-Service (FaaS) is the most popular implementation of serverless computing, representing applications as event-driven and stateless functions. However, existing studies report that functions of FaaS applications severely suffer from cold-start latency.In this article, we propose an approach, namely, FaaSLight, to accelerating the cold start for FaaS applications through application-level optimization. We first conduct a measurement study to investigate the possible root cause of the cold-start problem of FaaS. The result shows that application code loading latency is a significant overhead. Therefore, loading only indispensable code from FaaS applications can be an adequate solution. Based on this insight, we identify code related to application functionalities by constructing the function-level call graph and separate other code (i.e., optional code) from FaaS applications. The separated optional code can be loaded on demand to avoid the inaccurate identification of indispensable code causing application failure. In particular, a key principle guiding the design of FaaSLight is inherently general, i.e., platform- and language-agnostic. In practice, FaaSLight can be effectively applied to FaaS applications developed in different programming languages (Python and JavaScript), and can be seamlessly deployed on popular serverless platforms such as AWS Lambda and Google Cloud Functions, without having to modify the underlying OSes or hypervisors, nor introducing any additional manual engineering efforts to developers. The evaluation results on real-world FaaS applications show that FaaSLight can significantly reduce the code loading latency (up to 78.95%, 28.78% on average), thereby reducing the cold-start latency. As a result, the total response latency of functions can be decreased by up to 42.05% (19.21% on average). Compared with the state-of-the-art, FaaSLight achieves a 21.25× improvement in reducing the average total response latency.</t>
  </si>
  <si>
    <t>Z. Wu; Y. Deng; Y. Zhou; L. Cui; X. Qin</t>
  </si>
  <si>
    <t>HashCache: Accelerating Serverless Computing by Skipping Duplicated Function Execution</t>
  </si>
  <si>
    <t>Serverless computing is a leading force behind deploying and managing software in cloud computing. One inherent challenge in serverless computing is the increased overall latency due to duplicate computations. Our initial investigation into the function invocations of serverless applications reveals an abundance of duplicate invocations. Inspired by this critical observation, we introduce HashCache, a system designed to cache duplicate function invocations, thereby mitigating duplicate computations. In HashCache, serverless functions are classified into three categories, namely, computational functions, stateful functions, and environment-related functions. On the grounds of such a function classification, HashCache associates the stateful functions and their states to build an adaptive synchronization mechanism. With this support, HashCache exploits the cached results of computational and stateful functions to serve upcoming invocation requests to the same functions, thereby reducing duplicate computations. Moreover, HashCache stores remote files probed by stateful functions into a local cache layer, which further curtails invocation latency. We implement HashCache within the Apache OpenWhisk to forge a cache-enabled serverless computing platform. We conduct extensive experiments to quantitatively evaluate the performance of HashCache in terms of invocation latency and resource utilization. We compare HashCache against two state-of-the-art approaches - FaaSCache and OpenWhisk. The experimental results unveil that our HashCache remarkably reduces invocation latency and resource overhead. More specifically, HashCache curbs the 99-tail latency of FaaSCache and OpenWhisk by up to 91.37% and 95.96% in real-world serverless applications. HashCache also slashes the resource utilization of FaaSCache and OpenWhisk by up to 31.62% and 35.51%, respectively.</t>
  </si>
  <si>
    <t>Mahdizadeh S.H.; Abrishami S.</t>
  </si>
  <si>
    <t>An assignment mechanism for workflow scheduling in Function as a Service edge environment</t>
  </si>
  <si>
    <t>Serverless computing has revolutionized cloud-based software development for software developers, addressing many of the associated challenges. With resource management and infrastructure provisioning handled by the provider, developers can focus on deploying services at the application level, which has gained significant popularity. Edge computing, with its proximity to end-users and ability to offer low-cost, high-speed services, has emerged as a promising solution for latency-sensitive applications. By providing Function-as-a-Service (FaaS) capabilities at the network edge, it becomes easier to leverage the available edge capacity. However, edge servers have limited capacity to provide FaaS services, and user access is typically restricted to their geographic region. This presents a challenge in achieving optimal resource allocation in a multi-user environment, given the dynamic and unpredictable nature of edge computing. To address these challenges, we have proposed a dynamic resource provisioning and allocation approach for Edge FaaS. Our approach models the application structure as a directed acyclic graph, representing a workflow of computational functions. Drawing inspiration from the many-to-many assignment mechanism used in the course allocation problem, we have developed a mechanism to assign multi-user workflows to the limited Edge FaaS resources. This mechanism considers the priority of users’ ready tasks, determined by upward rank, with the goal of reducing workflow execution time. Additionally, we have proposed two methods for on-demand provisioning: the Highest Bid First Mechanism (HBFM) and the Warm Function First Mechanism (WFFM). Experimental results have shown that the proposed resource allocation methods effectively allocate limited resources to users, leading to reduced workflow completion time. © 2024 Elsevier B.V.</t>
  </si>
  <si>
    <t>Yang J.; Abraham A.</t>
  </si>
  <si>
    <t>Analyzing the Features, Usability, and Performance of Deploying a Containerized Mobile Web Application on Serverless Cloud Platforms</t>
  </si>
  <si>
    <t>Serverless computing services are offered by major cloud service providers such as Google Cloud Platform, Amazon Web Services, and Microsoft Azure. The primary purpose of the services is to offer efficiency and scalability in modern software development and IT operations while reducing overall costs and operational complexity. However, prospective customers often question which serverless service will best meet their organizational and business needs. This study analyzed the features, usability, and performance of three serverless cloud computing platforms: Google Cloud’s Cloud Run, Amazon Web Service’s App Runner, and Microsoft Azure’s Container Apps. The analysis was conducted with a containerized mobile application designed to track real-time bus locations for San Antonio public buses on specific routes and provide estimated arrival times for selected bus stops. The study evaluated various system-related features, including service configuration, pricing, and memory and CPU capacity, along with performance metrics such as container latency, distance matrix API response time, and CPU utilization for each service. The results of the analysis revealed that Google’s Cloud Run demonstrated better performance and usability than AWS’s App Runner and Microsoft Azure’s Container Apps. Cloud Run exhibited lower latency and faster response time for distance matrix queries. These findings provide valuable insights for selecting an appropriate serverless cloud service for similar containerized web applications. © 2024 by the authors.</t>
  </si>
  <si>
    <t>Column2</t>
  </si>
  <si>
    <t>Contribution of the research</t>
  </si>
  <si>
    <t>improve performance network traffic load,latency,time respond</t>
  </si>
  <si>
    <t xml:space="preserve">scalable serverless SG-AMI </t>
  </si>
  <si>
    <t>Performance evaluation framework</t>
  </si>
  <si>
    <t>better delay performance</t>
  </si>
  <si>
    <t>AutoToken</t>
  </si>
  <si>
    <t>reducing unnecessary wait times / reducing over-allocation</t>
  </si>
  <si>
    <t>task execution latencies</t>
  </si>
  <si>
    <t>empirical study statistical properties of fog computing task completion latencies</t>
  </si>
  <si>
    <t>Improve query response time</t>
  </si>
  <si>
    <t>find that existing work mainly studies the AWS Lambda platform</t>
  </si>
  <si>
    <t>improve execution time overhead</t>
  </si>
  <si>
    <t>uncoordinated access for centralized resource orchestration</t>
  </si>
  <si>
    <t>increased compute load and high percentiles of delay</t>
  </si>
  <si>
    <t>minimize electricity costs</t>
  </si>
  <si>
    <t>scheduling technique for Historical pricing data via intelligent personal assistant in IoT</t>
  </si>
  <si>
    <t xml:space="preserve">mitigate the cold start latency by optimiza workflow response time </t>
  </si>
  <si>
    <t>Improve response time of the original workflow</t>
  </si>
  <si>
    <t>predict the performance and cost of serverless applications</t>
  </si>
  <si>
    <t>optimize and deploy the microservice-based software layout based on live performance measurements</t>
  </si>
  <si>
    <t>improves the quality of task placement</t>
  </si>
  <si>
    <t>ensure the operation continuity</t>
  </si>
  <si>
    <t>support high-volume event processing workloads</t>
  </si>
  <si>
    <t>Reducing the cold-start latency</t>
  </si>
  <si>
    <t>DIFFUSE : Distributed and decentralized platForm enabling Function composition in Serverless Environments</t>
  </si>
  <si>
    <t>Improve latency by assess different middleware solutions</t>
  </si>
  <si>
    <t>Astrea</t>
  </si>
  <si>
    <t>reduce the job completion time , saving cost</t>
  </si>
  <si>
    <t>fog-edge computing</t>
  </si>
  <si>
    <t>edge computing</t>
  </si>
  <si>
    <t>IoT / Fog computing</t>
  </si>
  <si>
    <t>Cold start (S)</t>
  </si>
  <si>
    <t>Latency (L)</t>
  </si>
  <si>
    <t>Workload (W)</t>
  </si>
  <si>
    <t>AI / ML</t>
  </si>
  <si>
    <t>Function-as-a-Service (FaaS)/heuristic algorithm</t>
  </si>
  <si>
    <t>Cost /Price (c)</t>
  </si>
  <si>
    <t>Function composition in Serverless Environments</t>
  </si>
  <si>
    <t>ML / Big Data</t>
  </si>
  <si>
    <t>Netherite</t>
  </si>
  <si>
    <t>improves latency and throughput</t>
  </si>
  <si>
    <t>Durable Functions (DF) for serverless application</t>
  </si>
  <si>
    <t>CharmSeeker</t>
  </si>
  <si>
    <t>Video processing</t>
  </si>
  <si>
    <t>improve the relative processing time</t>
  </si>
  <si>
    <t>ETAS</t>
  </si>
  <si>
    <t>Reduce response times of invocations besides increasing workers throughputs and resource utilizations</t>
  </si>
  <si>
    <t>Throughput (P)</t>
  </si>
  <si>
    <t>P</t>
  </si>
  <si>
    <t>function scheduling IN SERVERLESS COMPUTING</t>
  </si>
  <si>
    <t>Serverless edge computing / game theory</t>
  </si>
  <si>
    <t>online learning algorithm</t>
  </si>
  <si>
    <t>maximize utility through rate adaptation and resource reservation</t>
  </si>
  <si>
    <t>Comparative study for IoT-based healthcare application</t>
  </si>
  <si>
    <t>ML / IoT /serverless computing</t>
  </si>
  <si>
    <t>Improve serverless computing performs better than non-serverless in terms of energy, latency, bandwidth, response time and scalability</t>
  </si>
  <si>
    <t xml:space="preserve">greedy optimization-based heuristic algorithm </t>
  </si>
  <si>
    <t>obtain the resource configuration needed to get optimal end to end response time and the cost.</t>
  </si>
  <si>
    <t>serverless computing</t>
  </si>
  <si>
    <t>comparitive study for data flow tool (DFT)-Object storage service (OSS)-MQTT</t>
  </si>
  <si>
    <t>3D media streaming in a serverless setting</t>
  </si>
  <si>
    <t xml:space="preserve"> novel network-centric adaptive streaming framework</t>
  </si>
  <si>
    <t>provisioning costs and inferring the expected consumer quality of experience</t>
  </si>
  <si>
    <t xml:space="preserve"> reduce the communication overhead between cascaded functions</t>
  </si>
  <si>
    <t>serverless DAG</t>
  </si>
  <si>
    <t xml:space="preserve"> WiseFuse </t>
  </si>
  <si>
    <t>Edge IoT</t>
  </si>
  <si>
    <t>Minimize loading latency</t>
  </si>
  <si>
    <t>Function offloading strategy</t>
  </si>
  <si>
    <t>Serverless computing</t>
  </si>
  <si>
    <t xml:space="preserve"> FaaSLight</t>
  </si>
  <si>
    <t>accelerating the cold start for FaaS applications through application-level optimization</t>
  </si>
  <si>
    <t>COSE</t>
  </si>
  <si>
    <t>Bayesian Optimization</t>
  </si>
  <si>
    <t>In the last decade, serverless computing emerged as a new compelling paradigm for the deployment of cloud applications and services. It represents an evolution of cloud computing with a simplified programming model, that aims to abstract away most operational concerns. Running serverless applications requires users to configure multiple parameters, such as memory, CPU, cloud provider, etc. While relatively simpler, configuring such parameters correctly while minimizing cost and meeting delay constraints is not trivial. In this paper, we present COSE, a framework that uses Bayesian Optimization to find the optimal resource configuration and placement for functions in a serverless application. COSE uses statistical learning techniques to intelligently collect samples and predict the cost and execution time of a serverless function across unseen configuration values. Our framework uses the predicted cost and execution time on available locations to select the "best" configuration parameters and placement for running a serverless application while satisfying customer objectives. We evaluate COSE on AWS Lambda with real-world applications consisting of multiple functions (both linear chains and service graphs), where we successfully found optimal/near-optimal configurations. We also evaluate COSE over a wide range of simulated distributed cloud environments that confirm the efficacy of our approach.</t>
  </si>
  <si>
    <t>optimal/near-optimal configurations</t>
  </si>
  <si>
    <t>Deep Reinforcement Learning (DRL) technique</t>
  </si>
  <si>
    <t xml:space="preserve"> Improve application response time and resource usage cost </t>
  </si>
  <si>
    <t>HealthFaaS</t>
  </si>
  <si>
    <t>Improve throughput and latency, cold start latency</t>
  </si>
  <si>
    <t>HashCache</t>
  </si>
  <si>
    <t>ES-DRL</t>
  </si>
  <si>
    <t>DRL - AI / IoT /(EFaaS) edge serverless</t>
  </si>
  <si>
    <t>reduce the average latency</t>
  </si>
  <si>
    <t xml:space="preserve"> PolarDB-SCC (PolarDB-Strongly Consistent Cluster)</t>
  </si>
  <si>
    <t>minimize network overhead and extra CPU usage</t>
  </si>
  <si>
    <t>serverless database</t>
  </si>
  <si>
    <t>reduces invocation latency and resource overhead</t>
  </si>
  <si>
    <t>AI/ (PPO) Proximal Policy Optimization</t>
  </si>
  <si>
    <t>Baselines-AI's Proximal Policy Optimization</t>
  </si>
  <si>
    <t>Improve of latency</t>
  </si>
  <si>
    <t>Cloud function (CF)</t>
  </si>
  <si>
    <t>Micro-benchmark evaluations of the features of CF and VM</t>
  </si>
  <si>
    <t xml:space="preserve">Improve performance and scalability of the CF-based operators and a cost-based optimizer </t>
  </si>
  <si>
    <t>function orchestration on serverless computing</t>
  </si>
  <si>
    <t>efficient workflow-based analytical model</t>
  </si>
  <si>
    <t>estimate the end-to-end response time and cost</t>
  </si>
  <si>
    <t>implement a platform, LambdaML</t>
  </si>
  <si>
    <t>ML /AI / edge computing</t>
  </si>
  <si>
    <t xml:space="preserve"> a framework for a heterogeneous edge environment</t>
  </si>
  <si>
    <t>enables distributed training within a serverless architecture</t>
  </si>
  <si>
    <t>BAASLESS: Backend-as-a-Service</t>
  </si>
  <si>
    <t>BaaS / ML</t>
  </si>
  <si>
    <t xml:space="preserve">improves workflow execution time </t>
  </si>
  <si>
    <t>serverless function</t>
  </si>
  <si>
    <t>(ACPM) adaptive container provisioning model</t>
  </si>
  <si>
    <t>serverless computing functions</t>
  </si>
  <si>
    <t>minimize the frequency of cold-start delay</t>
  </si>
  <si>
    <t>serverless quota-based systems/ DRL</t>
  </si>
  <si>
    <t>DRL hybrid auto-scaling solution</t>
  </si>
  <si>
    <t>find an optimal hybrid autoscaling policy that can minimize both the service latency SLO violation</t>
  </si>
  <si>
    <t>Systematic review paper / data pipeline/ ML</t>
  </si>
  <si>
    <t>heuristic-based approach, Machine learning-based approach, and framework-based approach</t>
  </si>
  <si>
    <t>DRL / IoT/Edge/fog computing</t>
  </si>
  <si>
    <t>DRLIS - Deep Reinforcement Learning-based IoT application Scheduling algorithm</t>
  </si>
  <si>
    <t>reduces the execution cost of IoT applications in terms of load balancing, response time, and weighted cost</t>
  </si>
  <si>
    <t>DRL / fog</t>
  </si>
  <si>
    <t>Def-DReL, a Systematic Deployment of Serverless Functions</t>
  </si>
  <si>
    <t>A lesser number of serverless functions from each user being deployed in the fog node, resulting in accommodating limited fog resources to more number of users</t>
  </si>
  <si>
    <t>(AFT-FaaS)  Automatic Function Triggerer - Function-as-a-Service</t>
  </si>
  <si>
    <t>ML /IoT/Edge/fog</t>
  </si>
  <si>
    <t>Improve delay, under-resource allocation, and to reduce the expenditures</t>
  </si>
  <si>
    <t>improves the cold start performance of Serverless applications, further reducing the cold start rate</t>
  </si>
  <si>
    <t>Innovative hierarchical startup optimization scheme</t>
  </si>
  <si>
    <t xml:space="preserve">(ECEEC) Enhanced Centroid-based Energy Efficient Clustering </t>
  </si>
  <si>
    <t>Serverless application</t>
  </si>
  <si>
    <t>better reliability, superior energy efficiency consumption of SNs under varying CH percentages</t>
  </si>
  <si>
    <t>Rofuse optimization mechanism</t>
  </si>
  <si>
    <t>enables containers within the same group to reuse locally cached file system data at the block level, reducing container restart latency</t>
  </si>
  <si>
    <t>container orchestration in serverless</t>
  </si>
  <si>
    <t xml:space="preserve">(ESMA) Egalitarian Stable Matching Algorithm </t>
  </si>
  <si>
    <t>IoT/ edge computing</t>
  </si>
  <si>
    <t xml:space="preserve"> client's happiness as well as the server's happiness have improved over the baseline/ reduce execution time and the total network resources consumed </t>
  </si>
  <si>
    <t>(MQTT) Message Queuing Telemetry Transport</t>
  </si>
  <si>
    <t>IoT /serverless computing</t>
  </si>
  <si>
    <t>improve execution time in pipeline memory and CPU usage</t>
  </si>
  <si>
    <t xml:space="preserve">Serverless computing </t>
  </si>
  <si>
    <t xml:space="preserve">ExDe a framework to systematically explore the design space of scheduling architectures </t>
  </si>
  <si>
    <t xml:space="preserve">Characterize the performance of three scheduling architectures </t>
  </si>
  <si>
    <t>Workload-aware Cloud function lifetime management strategy</t>
  </si>
  <si>
    <t>minimize cold-start overhead/ reduce costs</t>
  </si>
  <si>
    <t>(HBFM) Highest Bid First Mechanism and (WFFM) the Warm Function First Mechanism</t>
  </si>
  <si>
    <t>Reduced workflow completion time</t>
  </si>
  <si>
    <t>Serverless computing /Edge FaaS</t>
  </si>
  <si>
    <t>lower latency and faster response time for distance matrix queries.</t>
  </si>
  <si>
    <t>Analysis study / comparison Google cloud and AWS</t>
  </si>
  <si>
    <t>multi-agent Deep Reinforcement Learning</t>
  </si>
  <si>
    <t>reducing cold starts, while also offering the flexibility for optimizing resource maintenance cost to the service providers</t>
  </si>
  <si>
    <t xml:space="preserve">ML /IoT </t>
  </si>
  <si>
    <t>deterministic online algorithm that can rationally schedule elastic container instance (ECI)and elastic compute service (ECS)</t>
  </si>
  <si>
    <t>exhibits superiority across various workloads and can significantly reduces costs</t>
  </si>
  <si>
    <t>(CASR) Cache-Based Adaptive Scheduler for Serverless Runtime</t>
  </si>
  <si>
    <t>balances cold start latency and memory utilization while reducing overall cold start overhead</t>
  </si>
  <si>
    <t>non</t>
  </si>
  <si>
    <t xml:space="preserve"> (FDN) Function Delivery Network</t>
  </si>
  <si>
    <t>improvements in resource utilization, execution time, and request completion rates</t>
  </si>
  <si>
    <t xml:space="preserve"> optimize resource allocation and for developers to build more efficient and responsive serverless applications</t>
  </si>
  <si>
    <t xml:space="preserve">not mentioned </t>
  </si>
  <si>
    <t>DRL /IoT</t>
  </si>
  <si>
    <t>(ADRL) Adaptive Deep Reinforcement Learning/(WSRIT) Warm-aware Shortest Remaining Idle Time</t>
  </si>
  <si>
    <t xml:space="preserve">improve the satisfaction rate of SLOs and achieve the lowest cold start rate </t>
  </si>
  <si>
    <t>reduces energy consumption and operational costs</t>
  </si>
  <si>
    <t>fine-grained function decomposition, energy-efficient cloud provider selection, and AI-driven resource management</t>
  </si>
  <si>
    <t>granularity tree-based scheduling strategy</t>
  </si>
  <si>
    <t>reduced response time and idle memory usage</t>
  </si>
  <si>
    <t>serverless edge computing</t>
  </si>
  <si>
    <t>(CDNs) content delivery networks</t>
  </si>
  <si>
    <t>not mentioned</t>
  </si>
  <si>
    <t>big data</t>
  </si>
  <si>
    <t>MapReduce  parallel processing framework</t>
  </si>
  <si>
    <t xml:space="preserve"> shortens job execution time and reduces job execution costs </t>
  </si>
  <si>
    <t>(HEVC) High Efficiency Video Coding</t>
  </si>
  <si>
    <t xml:space="preserve">Multimedia/video codeing </t>
  </si>
  <si>
    <t xml:space="preserve"> low latency </t>
  </si>
  <si>
    <t>IEEEXplore</t>
  </si>
  <si>
    <t>IEEE Transactions on Services Computing</t>
  </si>
  <si>
    <t>C Chen, M Herrera, G Zheng, L Xia, Z Ling, J Wang</t>
  </si>
  <si>
    <t>Cross-Edge Orchestration of Serverless Functions with Probabilistic Caching</t>
  </si>
  <si>
    <t xml:space="preserve">NP-hard </t>
  </si>
  <si>
    <t>improve overall system cost and cold-start</t>
  </si>
  <si>
    <t>Journal of Systems Architecture</t>
  </si>
  <si>
    <t>Ana Ebrahimi a, Mostafa Ghobaei-Arani a,*, Hadi Saboohi b</t>
  </si>
  <si>
    <t>Cold start latency mitigation mechanisms in serverless computing: Taxonomy, review, and future directions</t>
  </si>
  <si>
    <t>Today, Function-as-a-Service (FaaS), as an emerging path to implementing serverless computing paradigm, seems quite promising in responding to the growing increase in requests for microservices. However, the serverless computing model also brings new challenges. Although the execution time of the functions is very short in FaaS, the initialization of containers and cold start is time-consuming and leads to a decrease in system performance. Cold start latency reduces the attractiveness of FaaS with the cost it imposes on the system. This is the most serious challenge in the majority of serverless computing platforms. Despite the importance of the subject, to the best of our knowledge, there is no comprehensive systematic review of cold start latency mitigation mechanisms in serverless computing platforms. This study aims to provide a systematic literature review on cold start latency mitigation mechanisms in serverless computing environment. In our proposed taxonomy, the mechanisms are classified into four categories: application-based, checkpoint-based, invocation time prediction-based, and cache-based; then, every category is introduced and reviewed. Finally, we propose open issues and conclude.</t>
  </si>
  <si>
    <t>Taxonomy</t>
  </si>
  <si>
    <t>Serverless edge computing adopts an event-based paradigm that provides back-end services on an as-used basis, resulting in efficient resource utilization. To improve the end-toend latency and revenue, service providers need to  ptimize the number and placement of serverless containers while considering the system cost incurred by the  rovisioning. The particular reason for this circumstance is that frequently creating and destroying containers not only  ncreases the system cost but also degrades the time responsiveness due to the cold-start process. Function caching is a common approach to mitigate the coldstart issue. However, function caching requires extra hardware resources and hence incurs extra system costs.  urthermore, the dynamic and bursty nature of serverless invocations remains an under-explored area. Hence, it is vitally  mportant for service providers to conduct a context-aware request istribution and container caching policy for  erverless edge computing. In this paper, we study the request distribution and container caching problem in serverless edge computing. We prove the proposed problem is NP-hard and hence difficult to find a global optimal solution. We  ointly consider the distributed and resourceconstrained nature of edge computing and propose an optimized request  istribution algorithm that adapts to the dynamics of serverless  nvocations with a theoretical performance guarantee. Also, we propose a context-aware probabilistic caching policy that incorporates a number of characteristics of  erverless invocations. Via simulation and implementation results, we demonstrate the superiority of the proposed  lgorithm by outperforming existing caching policies in terms of the overall system cost and cold-start frequency by up to  2.1% and 69.1%, respectively.</t>
  </si>
  <si>
    <t>Execution Time (T)</t>
  </si>
  <si>
    <t>Kehrer S.; Zietlow D.; Scheffold J.; Blochinger W.</t>
  </si>
  <si>
    <t>Self-tuning serverless task farming using proactive elasticity control</t>
  </si>
  <si>
    <t>The cloud evolved into an attractive execution environment for parallel applications, which make use of compute resources to speed up the computation of large problems in science and industry. Whereas Infrastructure as a Service (IaaS) offerings have been commonly employed, more recently, serverless computing emerged as a novel cloud computing paradigm with the goal of freeing developers from resource management issues. However, as of today, serverless computing platforms are mainly used to process computations triggered by events or user requests that can be executed independently of each other and benefit from on-demand and elastic compute resources as well as per-function billing. In this work, we discuss how to employ serverless computing platforms to operate parallel applications. We specifically focus on the class of parallel task farming applications and introduce a novel approach to free developers from both parallelism and resource management issues. Our approach includes a proactive elasticity controller that adapts the physical parallelism per application run according to user-defined goals. Specifically, we show how to consider a user-defined execution time limit after which the result of the computation needs to be present while minimizing the associated monetary costs. To evaluate our concepts, we present a prototypical elastic parallel system architecture for self-tuning serverless task farming and implement two applications based on our framework. Moreover, we report on performance measurements for both applications as well as the prediction accuracy of the proposed proactive elasticity control mechanism and discuss our key findings. © 2020, Springer Science+Business Media, LLC, part of Springer Nature.</t>
  </si>
  <si>
    <t xml:space="preserve"> prototypical elastic parallel system architecture for self-tuning serverless task farming </t>
  </si>
  <si>
    <t>Li M.; Zhang J.; Lin J.; Chen Z.; Zheng X.</t>
  </si>
  <si>
    <t>FireFace: Leveraging Internal Function Features for Configuration of Functions on Serverless Edge Platforms</t>
  </si>
  <si>
    <t>The emerging serverless computing has become a captivating paradigm for deploying cloud applications, alleviating developers’ concerns about infrastructure resource management by configuring necessary parameters such as latency and memory constraints. Existing resource configuration solutions for cloud-based serverless applications can be broadly classified into modeling based on historical data or a combination of sparse measurements and interpolation/modeling. In pursuit of service response and conserving network bandwidth, platforms have progressively expanded from the traditional cloud to the edge. Compared to cloud platforms, serverless edge platforms often lead to more running overhead due to their limited resources, resulting in undesirable financial costs for developers when using the existing solutions. Meanwhile, it is extremely challenging to handle the heterogeneity of edge platforms, characterized by distinct pricing owing to their varying resource preferences. To tackle these challenges, we propose an adaptive and efficient approach called FireFace, consisting of prediction and decision modules. The prediction module extracts the internal features of all functions within the serverless application and uses this information to predict the execution time of the functions under specific configuration schemes. Based on the prediction module, the decision module analyzes the environment information and uses the Adaptive Particle Swarm Optimization algorithm and Genetic Algorithm Operator (APSO-GA) algorithm to select the most suitable configuration plan for each function, including CPU, memory, and edge platforms. In this way, it is possible to effectively minimize the financial overhead while fulfilling the Service Level Objectives (SLOs). Extensive experimental results show that our prediction model obtains optimal results under all three metrics, and the prediction error rate for real-world serverless applications is in the range of 4.25∼9.51%. Our approach can find the optimal resource configuration scheme for each application, which saves 7.2∼44.8% on average compared to other classic algorithms. Moreover, FireFace exhibits rapid adaptability, efficiently adjusting resource allocation schemes in response to dynamic environments. © 2023 by the authors.</t>
  </si>
  <si>
    <t>Svingos, Christoforos; Hernich, Andre; Gildhoff, Hinnerk; Papakonstantinou, Yannis; Ioannidis, Yannis</t>
  </si>
  <si>
    <t>Foreign Keys Open the Door for Faster Incremental View Maintenance</t>
  </si>
  <si>
    <t>Serverless cloud-based warehousing systems enable users to create materialized views in order to speed up predictable and repeated query workloads. Incremental view maintenance (IVM) minimizes the time needed to bring a materialized view up-to-date. It allows the refresh of a materialized view solely based on the base table changes since the last refresh. In serverless cloud-based warehouses, IVM uses computations defined as SQL scripts that update the materialized view based on updates to its base tables. However, the scripts set up for materialized views with inner joins are not optimal in the presence of foreign key constraints. For instance, for a join of two tables, the state of the art IVM computations use a UNION ALL operator of two joins - one computing the contributions to the join from updates to the first table and the other one computing the remaining contributions from the second table. Knowing that one of the join keys is a foreign-key would allow us to prune all but one of the UNION ALL branches and obtain a more efficient IVM script. In this work, we explore ways of incorporating knowledge about foreign key into IVM in order to speed up its performance. Experiments in Redshift showed that the proposed technique improved the execution times of the whole refresh process up to 2 times, and up to 2.7 times the process of calculating the necessary changes that will be applied into the materialized view.</t>
  </si>
  <si>
    <t>Singh B.; Kaur R.; Woodside M.; Chinneck J.W.</t>
  </si>
  <si>
    <t>Low-power multi-cloud deployment of large distributed service applications with response-time constraints</t>
  </si>
  <si>
    <t>Distributed service applications make heavy use of clouds and multi-clouds, and must (i) meet service quality goals (e.g. response time) while (ii) satisfying cloud resource constraints and (iii) conserving power. Deployment algorithms must (iv) provide a solution meeting these requirements within a short time to be useful in practice. Very few existing deployment methods address the first three requirements, and those that do take too long to find a deployment. The Low-Power Multi-Cloud Application Deployment (LPD) algorithm fills this gap with a low-complexity heuristic combination of generalized graph partitioning between clouds, bin-packing within each cloud and queueing approximations to control the response time. LPD has no known competitor that quickly finds a solution that satisfies response time bounds. A host execution time approximation for contention is fundamental to achieving sufficient solution speed. LPD is intended for use by cloud managers who must simultaneously manage hosts and application deployments and plan capacity to offer services such as Serverless Computing. On 104 test scenarios deploying up to 200 processes with up to 240 replicas (for scaling), LPD always produced a feasible solution within 100 s (within 20 seconds in over three-quarters of cases). Compared to the Mixed Integer Program solution by CPLEX (which took a lot longer and was sometimes not found) LPD solutions gave power consumption equal to MIP in a third of cases and within 6% of MIP in 95% of cases. In 93% of all 104 cases the power consumption is within 20% of an (unachievable) lower bound. LPD is intended as a stand-alone heuristic to meet solution time restrictions, but could easily be adapted for use as a repair mechanism in a Genetic Algorithm. © 2022, The Author(s).</t>
  </si>
  <si>
    <t>Shahid U.; Ahmed G.; Siddiqui S.; Shuja J.; Balogun A.O.</t>
  </si>
  <si>
    <t>Latency-Sensitive Function Placement among Heterogeneous Nodes in Serverless Computing</t>
  </si>
  <si>
    <t>Function as a Service (FaaS) is highly beneficial to smart city infrastructure due to its flexibility, efficiency, and adaptability, specifically for integration in the digital landscape. FaaS has serverless setup, which means that an organization no longer has to worry about specific infrastructure management tasks; the developers can focus on how to deploy and create code efficiently. Since FaaS aligns well with the IoT, it easily integrates with IoT devices, thereby making it possible to perform event-based actions and real-time computations. In our research, we offer an exclusive likelihood-based model of adaptive machine learning for identifying the right place of function. We employ the XGBoost regressor to estimate the execution time for each function and utilize the decision tree regressor to predict network latency. By encompassing factors like network delay, arrival computation, and emphasis on resources, the machine learning model eases the selection process of a placement. In replication, we use Docker containers, focusing on serverless node type, serverless node variety, function location, deadlines, and edge-cloud topology. Thus, the primary objectives are to address deadlines and enhance the use of any resource, and from this, we can see that effective utilization of resources leads to enhanced deadline compliance. © 2024 by the authors.</t>
  </si>
  <si>
    <t>ML / IoT</t>
  </si>
  <si>
    <t>Baresi, Luciano; Hu, Davide Yi Xian; Quattrocchi, Giovanni; Terracciano, Luca</t>
  </si>
  <si>
    <t>NEPTUNE: A Comprehensive Framework for Managing Serverless Functions at the Edge</t>
  </si>
  <si>
    <t>Applications that are constrained by low-latency requirements can hardly be executed on cloud infrastructures, given the high network delay required to reach remote servers. Multi-access Edge Computing (MEC) is the reference architecture for executing applications on nodes that are located close to users (i.e., at the edge of the network). This way, the network overhead is reduced but new challenges emerge. The resources available on edge nodes are limited, workloads fluctuate since users can rapidly change location, and complex tasks are becoming widespread (e.g., machine learning inference). To address these issues, this article presents NEPTUNE, a serverless-based framework that automates the management of large-scale MEC infrastructures. In particular, NEPTUNE provides (i) the placement of serverless functions on MEC nodes according to users’ location, (ii) the resolution of resource contention scenarios by avoiding that single nodes be saturated, and (iii) the dynamic allocation of CPUs and GPUs to meet foreseen execution times. To assess NEPTUNE, we built a prototype based on K3S, an edge-dedicated version of Kubernetes, and executed a comprehensive set of experiments. Results show that NEPTUNE obtains a significant reduction in terms of response time, network overhead, and resource consumption compared with five state-of-the-art solutions.</t>
  </si>
  <si>
    <t>Karamzadeh A.; Shameli-Sendi A.</t>
  </si>
  <si>
    <t>Reducing cold start delay in serverless computing using lightweight virtual machines</t>
  </si>
  <si>
    <t>In recent years, serverless computing has gained considerable attention in academic, professional, and business circles. Unique features such as code development flexibility and the cost-efficient pay-as-you-go pricing model have led to predictions of widespread adoption of serverless services. Major players in the cloud computing sector, including industry giants like Amazon, Google, and Microsoft, have made significant advancements in the field of serverless services. However, cloud computing faces complex challenges, with two prominent ones being the latency caused by cold start instances and security vulnerabilities associated with container escapes. These challenges undermine the smooth execution of isolated functions, a concern amplified by technologies like Google gVisor and Kata Containers. While the integration of tools like lightweight virtual machines has alleviated concerns about container escape vulnerabilities, the primary issue remains the increased delay experienced during cold start instances in the execution of serverless functions. The purpose of this research is to propose an architecture that reduces cold start delay overhead by utilizing lightweight virtual machines within a commercial architecture, thereby achieving a setup that closely resembles real-world scenarios. This research employs supervised learning methodologies to predict function invocations by leveraging the execution patterns of other program functions. The goal is to proactively mitigate cold start scenarios by invoking the target function before actual user initiation, effectively transitioning from cold starts to warm starts. In this study, we compared our approach with two fixed and variable window strategies. Commercial platforms like Knative, OpenFaaS, and OpenWhisk typically employ a fixed 15-minute window during cold starts. In contrast to these platforms, our approach demonstrated a significant reduction in cold start incidents. Specifically, when calling a function 200 times with 5, 10, and 20 invocations within one hour, our approach achieved reductions in cold starts by 83.33%, 92.13%, and 90.90%, respectively. Compared to the variable window approach, which adjusts the window based on cold start values, our proposed approach was able to prevent 82.92%, 91.66%, and 90.56% of cold starts for the same scenario. These results highlight the effectiveness of our approach in significantly reducing cold starts, thereby enhancing the performance and responsiveness of serverless functions. Our method outperformed both fixed and variable window strategies, making it a valuable contribution to the field of serverless computing. Additionally, the implementation of pre-invocation strategies to convert cold starts into warm starts results in a substantial reduction in the execution time of functions within lightweight virtual machines. © 2024 Elsevier Ltd</t>
  </si>
  <si>
    <t>Czentye J.; Sonkoly B.</t>
  </si>
  <si>
    <t>Serverless application composition leveraging function fusion: Theory and algorithms</t>
  </si>
  <si>
    <t>Serverless computing is a novel cloud computing paradigm enabling flexible, cost-efficient and fine-granular development of cloud-native applications, although without any guarantees on scheduling or execution times. Thus, various high-level solutions have been proposed in recent years to find proper configurations of individual FaaS functions, while considering user-given QoS requirements. However, the ever-increasing complexity of invocation patterns among stateless functions, externalized management of intermediate states, and diverse public cloud resources pose new challenges to the composition of highly data-intensive serverless applications. In this paper, we fill this gap by proposing novel algorithms based on the emerging function fusion technique, along with the related cost/performance models of composite functions supporting implicit instance parallelization and internal state propagation. We prove the NP-completeness of the underlying latency-constrained tree partitioning problem, and design a bicriteria approximation scheme and a greedy heuristic to derive cost-efficient deployment configurations in polynomial time. With the help of extensive simulations using synthetic call graphs generated from public cloud traces, we demonstrate the applicability and superior runtime performance of our proposed methods compared to state-of-the-art solutions. In addition, we showcase that further cost-reduction of up to 3–6 % can be achieved compared to the optimal partitioning with the allowance of tolerable latency violations. © 2023 The Author(s)</t>
  </si>
  <si>
    <t>Sala R.; Guindani B.; Galimberti E.; Filippini F.; Sedghani H.; Ardagna D.; Risco S.; Moltó G.; Caballer M.</t>
  </si>
  <si>
    <t>OSCAR-P and aMLLibrary: Profiling and predicting the performance of FaaS-based applications in computing continua</t>
  </si>
  <si>
    <t>This paper proposes an automated framework for efficient application profiling and training of Machine Learning (ML) performance models, composed of two parts: OSCAR-P and aMLLibrary. OSCAR-P is an auto-profiling tool designed to automatically test serverless application workflows running on multiple hardware and node combinations in cloud and edge environments. OSCAR-P obtains relevant profiling information on the execution time of the individual application components. These data are later used by aMLLibrary to train ML-based performance models. This makes it possible to predict the performance of applications on unseen configurations. We test our framework on clusters with different architectures (x86 and arm64) and workloads, considering multi-component use-case applications. This extensive experimental campaign proves the efficiency of OSCAR-P and aMLLibrary, significantly reducing the time needed for the application profiling, data collection, and data processing. The preliminary results obtained on the ML performance models accuracy show a Mean Absolute Percentage Error lower than 30% in all the considered scenarios. © 2024 The Authors</t>
  </si>
  <si>
    <t>Poojara, Shivananda; Jakovits, Pelle; Buyya, Rajkumar; Srirama, Satish Narayana</t>
  </si>
  <si>
    <t>Scaling Approaches for Serverless Data Pipelines in Edge and Fog Computing Environments: A Performance Evaluation</t>
  </si>
  <si>
    <t>The rise of Internet of Things (IoT) applications has led to massive data generation. However, dealing with such massive data is challenging. Nowadays, data pipelines are popular mechanisms used to properly deal with data operations at scale in the IoT continuum. Serverless data pipelines (SDP) are one such approach to performing event-driven data analysis on data streams. Data pipelines are composed of many components, and scaling the entire pipeline without leaving any bottlenecks is challenging. This study aims to assess the performance of scaling mechanisms in handling stochastic workloads efficiently and understanding critical resource utilization in fog environments. We applied workload-based techniques (Request per Second, Queue Length, Message Rate) and resource-based scaling (CPU) on SDP components of two IoT applications: Aeneas (long-running functions) and PuhatuMonitoring (short-running functions). Using Azure serverless workload patterns, we compared scaling approaches in real-time fog environments, evaluating QoS metrics like processing time and CPU utilization. Our analysis of suitability, using the weighted average scoring method on two QoS metrics, revealed that for compute-intensive tasks, the resource-based scaling approach works effectively for jump, steady, spike, and fluctuation workloads. For short execution time tasks, workload-based scaling suits all four workloads.</t>
  </si>
  <si>
    <t>Shahin, Mahtab; Rahimpour, Saeed; Ghasempouri, Tara; Bauk, Sanja; Fahringer, Thomas; Draheim, Dirk</t>
  </si>
  <si>
    <t>Towards Smarter Maritime Security: Apriori Algorithm Optimization in Serverless Environments</t>
  </si>
  <si>
    <t>This paper presents an optimized implementation of the Apriori algorithm tailored for large-scale data mining in cloud-native, serverless environments, utilizing real-world fuel datasets. Our approach achieves a 28% reduction in execution time and a 22% decrease in memory consumption compared to traditional distributed Apriori methods. The study leverages high-dimensional fuel datasets, spanning from 2020 to 2050, to evaluate scalability and efficiency in processing energy-related data. By employing advanced synchronization and deferred partitioning strategies, communication overhead is significantly reduced, improving performance while effectively balancing computational loads across distributed nodes. Security measures, including AES-256 encryption and role-based access control (RBAC), are incorporated to safeguard data confidentiality and ensure compliance with regulatory frameworks. The proposed solution scales efficiently for datasets up to 1 million records, demonstrating applicability across domains such as transportation and logistics. Future work will explore adaptive partitioning techniques, hybrid cloud architectures, and AI-driven predictive analytics to further enhance scalability and operational efficiency in serverless multi-cloud systems.</t>
  </si>
  <si>
    <t>Procedia Computer Science</t>
  </si>
  <si>
    <t>(APSO-GA) Adaptive Particle Swarm Optimization algorithm and Genetic Algorithm Operator</t>
  </si>
  <si>
    <t>select the most suitable configuration plan for each function, including CPU, memory, and edge platforms</t>
  </si>
  <si>
    <t>Incremental view maintenance (IVM)</t>
  </si>
  <si>
    <t>serverless edge</t>
  </si>
  <si>
    <t>improved the execution times</t>
  </si>
  <si>
    <t>(LPD) Low-Power Multi-Cloud Application Deployment</t>
  </si>
  <si>
    <t>Multi-Cloud Application Deployment</t>
  </si>
  <si>
    <t>XGBoost</t>
  </si>
  <si>
    <t>predict network latency to enhanced deadline compliance</t>
  </si>
  <si>
    <t>NEPTUNE</t>
  </si>
  <si>
    <t>a significant reduction in terms of response time, network overhead, and resource consumption</t>
  </si>
  <si>
    <t>security in serverless cloud</t>
  </si>
  <si>
    <t>enhance scalability and operational efficiency</t>
  </si>
  <si>
    <t>AES-256 encryption and role-based access control (RBAC)</t>
  </si>
  <si>
    <t>reducing cold starts, thereby enhancing the performance</t>
  </si>
  <si>
    <t>improve cost-reduction and superior runtime performance</t>
  </si>
  <si>
    <t>Aeneas (long-running functions) and PuhatuMonitoring (short-running functions)</t>
  </si>
  <si>
    <t>improve execution time tasks,and workload-based</t>
  </si>
  <si>
    <t>OSCAR-P and aMLLibrary</t>
  </si>
  <si>
    <t>reducing the time needed for the application profiling, data collection, and data processing</t>
  </si>
  <si>
    <t>Grand Total</t>
  </si>
  <si>
    <t>Row Labels</t>
  </si>
  <si>
    <t>Count of Execution Time (T)</t>
  </si>
  <si>
    <t>Count of Cold start (S)</t>
  </si>
  <si>
    <t>Count of Latency (L)</t>
  </si>
  <si>
    <t>Count of Workload (W)</t>
  </si>
  <si>
    <t>Count of Cost /Price (c)</t>
  </si>
  <si>
    <t>Count of Throughput (P)</t>
  </si>
  <si>
    <t>Factors</t>
  </si>
  <si>
    <t>IoT for Edge computing</t>
  </si>
  <si>
    <t>time / CPU utilization</t>
  </si>
  <si>
    <t>workload balancing /overhead parallel jobs</t>
  </si>
  <si>
    <t>performance and cost</t>
  </si>
  <si>
    <t>time (latency)</t>
  </si>
  <si>
    <t>energy costs</t>
  </si>
  <si>
    <t>time/ no. excutions / price</t>
  </si>
  <si>
    <t xml:space="preserve">time (latency because of cold start) </t>
  </si>
  <si>
    <t>task execution time/ cloud execution cost/</t>
  </si>
  <si>
    <t>workload balancing</t>
  </si>
  <si>
    <t>time (latency)/ cost</t>
  </si>
  <si>
    <t>hyper-parameter tuning framework /present empirical evaluation</t>
  </si>
  <si>
    <t>Count of Cost /Price (c)2</t>
  </si>
  <si>
    <t>Mean</t>
  </si>
  <si>
    <t>Standard Error</t>
  </si>
  <si>
    <t>Median</t>
  </si>
  <si>
    <t>Mode</t>
  </si>
  <si>
    <t>Standard Deviation</t>
  </si>
  <si>
    <t>Sample Variance</t>
  </si>
  <si>
    <t>Kurtosis</t>
  </si>
  <si>
    <t>Skewness</t>
  </si>
  <si>
    <t>Range</t>
  </si>
  <si>
    <t>Minimum</t>
  </si>
  <si>
    <t>Maximum</t>
  </si>
  <si>
    <t>Sum</t>
  </si>
  <si>
    <t>Count</t>
  </si>
  <si>
    <t>Largest(1)</t>
  </si>
  <si>
    <t>Smallest(1)</t>
  </si>
  <si>
    <t>Confidence Level(95.0%)</t>
  </si>
  <si>
    <t>No. of Metrics</t>
  </si>
  <si>
    <t>Big data</t>
  </si>
  <si>
    <t>AI</t>
  </si>
  <si>
    <t>healthcare / serverless computing model</t>
  </si>
  <si>
    <t>Blank</t>
  </si>
  <si>
    <t>Resouce Allocation</t>
  </si>
  <si>
    <t>R</t>
  </si>
  <si>
    <t>Count of Resouce Allocation</t>
  </si>
  <si>
    <t>AI / edge computing</t>
  </si>
  <si>
    <t>Big Data</t>
  </si>
  <si>
    <t>Multi-access Edge Computing (MEC)</t>
  </si>
  <si>
    <t>Function-as-a-Service (FaaS)/greedy heuristic algorithm</t>
  </si>
  <si>
    <t>serverless computing model/ huristic</t>
  </si>
  <si>
    <t>serverless computing /greedy heuristic</t>
  </si>
  <si>
    <t>function orchestration on serverless computing/ Heuristic</t>
  </si>
  <si>
    <t>DRL /heuristic</t>
  </si>
  <si>
    <t>Multi-Cloud Application Deployment/heuristic</t>
  </si>
  <si>
    <t>DRL / IoT/Edge/fog computing/ heuristic</t>
  </si>
  <si>
    <t>Serverless application /greedy heuristic</t>
  </si>
  <si>
    <t>fog computing / edge computing/ power usage</t>
  </si>
  <si>
    <t>IoT / ML/power usage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</si>
</sst>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FF0000"/>
      <name val="Calibri"/>
      <family val="2"/>
      <scheme val="minor"/>
    </font>
    <font>
      <sz val="11"/>
      <name val="Calibri"/>
      <family val="2"/>
      <scheme val="minor"/>
    </font>
    <font>
      <b/>
      <sz val="11"/>
      <color theme="0"/>
      <name val="Calibri"/>
      <family val="2"/>
      <scheme val="minor"/>
    </font>
    <font>
      <b/>
      <sz val="11"/>
      <color theme="1"/>
      <name val="Calibri"/>
      <family val="2"/>
      <scheme val="minor"/>
    </font>
    <font>
      <i/>
      <sz val="11"/>
      <color theme="1"/>
      <name val="Calibri"/>
      <family val="2"/>
      <scheme val="minor"/>
    </font>
    <font>
      <b/>
      <sz val="11"/>
      <name val="Calibri"/>
      <family val="2"/>
      <scheme val="minor"/>
    </font>
  </fonts>
  <fills count="16">
    <fill>
      <patternFill patternType="none"/>
    </fill>
    <fill>
      <patternFill patternType="gray125"/>
    </fill>
    <fill>
      <patternFill patternType="solid">
        <fgColor theme="4" tint="0.39997558519241921"/>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99CC"/>
        <bgColor indexed="64"/>
      </patternFill>
    </fill>
    <fill>
      <patternFill patternType="solid">
        <fgColor rgb="FF33CC33"/>
        <bgColor indexed="64"/>
      </patternFill>
    </fill>
    <fill>
      <patternFill patternType="solid">
        <fgColor theme="5" tint="0.59999389629810485"/>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0"/>
        <bgColor indexed="64"/>
      </patternFill>
    </fill>
    <fill>
      <patternFill patternType="solid">
        <fgColor theme="0"/>
        <bgColor theme="4" tint="0.79998168889431442"/>
      </patternFill>
    </fill>
    <fill>
      <patternFill patternType="solid">
        <fgColor theme="5" tint="0.39997558519241921"/>
        <bgColor indexed="64"/>
      </patternFill>
    </fill>
  </fills>
  <borders count="26">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theme="4" tint="0.39997558519241921"/>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theme="4" tint="0.39997558519241921"/>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theme="4" tint="0.39997558519241921"/>
      </top>
      <bottom/>
      <diagonal/>
    </border>
    <border>
      <left style="thin">
        <color indexed="64"/>
      </left>
      <right/>
      <top style="thin">
        <color indexed="64"/>
      </top>
      <bottom/>
      <diagonal/>
    </border>
    <border>
      <left/>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02">
    <xf numFmtId="0" fontId="0" fillId="0" borderId="0" xfId="0"/>
    <xf numFmtId="0" fontId="0" fillId="2" borderId="1" xfId="0" applyFill="1" applyBorder="1"/>
    <xf numFmtId="0" fontId="0" fillId="2" borderId="3" xfId="0" applyFill="1" applyBorder="1"/>
    <xf numFmtId="0" fontId="0" fillId="0" borderId="2" xfId="0" applyBorder="1"/>
    <xf numFmtId="0" fontId="0" fillId="0" borderId="2" xfId="0" applyBorder="1" applyAlignment="1">
      <alignment horizontal="center"/>
    </xf>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left"/>
    </xf>
    <xf numFmtId="0" fontId="0" fillId="3" borderId="4" xfId="0" applyFill="1" applyBorder="1"/>
    <xf numFmtId="0" fontId="0" fillId="4" borderId="4" xfId="0" applyFill="1" applyBorder="1"/>
    <xf numFmtId="0" fontId="0" fillId="5" borderId="4" xfId="0" applyFill="1" applyBorder="1"/>
    <xf numFmtId="0" fontId="0" fillId="2" borderId="4" xfId="0" applyFill="1" applyBorder="1"/>
    <xf numFmtId="0" fontId="0" fillId="6" borderId="4" xfId="0" applyFill="1" applyBorder="1"/>
    <xf numFmtId="0" fontId="0" fillId="7" borderId="4" xfId="0" applyFill="1" applyBorder="1"/>
    <xf numFmtId="0" fontId="0" fillId="8" borderId="2" xfId="0" applyFill="1" applyBorder="1"/>
    <xf numFmtId="0" fontId="1" fillId="0" borderId="2" xfId="0" applyFont="1" applyBorder="1" applyAlignment="1">
      <alignment horizontal="center"/>
    </xf>
    <xf numFmtId="0" fontId="0" fillId="2" borderId="1" xfId="0" applyFill="1" applyBorder="1" applyAlignment="1">
      <alignment horizontal="left"/>
    </xf>
    <xf numFmtId="0" fontId="0" fillId="0" borderId="1" xfId="0" applyBorder="1" applyAlignment="1">
      <alignment horizontal="left"/>
    </xf>
    <xf numFmtId="0" fontId="0" fillId="0" borderId="6" xfId="0" applyBorder="1" applyAlignment="1">
      <alignment horizontal="left"/>
    </xf>
    <xf numFmtId="0" fontId="0" fillId="0" borderId="0" xfId="0" applyAlignment="1">
      <alignment horizontal="left"/>
    </xf>
    <xf numFmtId="0" fontId="0" fillId="0" borderId="6" xfId="0" applyBorder="1" applyAlignment="1">
      <alignment horizontal="center"/>
    </xf>
    <xf numFmtId="0" fontId="0" fillId="0" borderId="2" xfId="0" applyBorder="1" applyAlignment="1">
      <alignment horizontal="left" wrapText="1"/>
    </xf>
    <xf numFmtId="0" fontId="2" fillId="0" borderId="2" xfId="0" applyFont="1" applyBorder="1" applyAlignment="1">
      <alignment horizontal="center"/>
    </xf>
    <xf numFmtId="0" fontId="0" fillId="9" borderId="2" xfId="0" applyFill="1" applyBorder="1" applyAlignment="1">
      <alignment horizontal="left"/>
    </xf>
    <xf numFmtId="0" fontId="0" fillId="9" borderId="2" xfId="0" applyFill="1" applyBorder="1"/>
    <xf numFmtId="0" fontId="0" fillId="9" borderId="2" xfId="0" applyFill="1" applyBorder="1" applyAlignment="1">
      <alignment horizontal="center"/>
    </xf>
    <xf numFmtId="0" fontId="0" fillId="2" borderId="2" xfId="0" applyFill="1" applyBorder="1" applyAlignment="1">
      <alignment horizontal="left"/>
    </xf>
    <xf numFmtId="0" fontId="2" fillId="9" borderId="2" xfId="0" applyFont="1" applyFill="1" applyBorder="1" applyAlignment="1">
      <alignment horizontal="center"/>
    </xf>
    <xf numFmtId="0" fontId="1" fillId="9" borderId="2" xfId="0" applyFont="1" applyFill="1" applyBorder="1" applyAlignment="1">
      <alignment horizontal="center"/>
    </xf>
    <xf numFmtId="0" fontId="0" fillId="0" borderId="2" xfId="0" pivotButton="1" applyBorder="1"/>
    <xf numFmtId="0" fontId="0" fillId="2" borderId="2" xfId="0" applyFill="1" applyBorder="1" applyAlignment="1">
      <alignment horizontal="center"/>
    </xf>
    <xf numFmtId="0" fontId="0" fillId="9" borderId="9" xfId="0" applyFill="1" applyBorder="1" applyAlignment="1">
      <alignment horizontal="center"/>
    </xf>
    <xf numFmtId="0" fontId="0" fillId="9" borderId="9" xfId="0" applyFill="1" applyBorder="1" applyAlignment="1">
      <alignment horizontal="left"/>
    </xf>
    <xf numFmtId="0" fontId="0" fillId="9" borderId="5" xfId="0" applyFill="1" applyBorder="1"/>
    <xf numFmtId="0" fontId="0" fillId="9" borderId="5" xfId="0" applyFill="1" applyBorder="1" applyAlignment="1">
      <alignment horizontal="left"/>
    </xf>
    <xf numFmtId="0" fontId="0" fillId="9" borderId="16" xfId="0" applyFill="1" applyBorder="1" applyAlignment="1">
      <alignment horizontal="center"/>
    </xf>
    <xf numFmtId="0" fontId="0" fillId="0" borderId="16" xfId="0" applyBorder="1" applyAlignment="1">
      <alignment horizontal="center"/>
    </xf>
    <xf numFmtId="0" fontId="3" fillId="2" borderId="3" xfId="0" applyFont="1" applyFill="1" applyBorder="1"/>
    <xf numFmtId="0" fontId="3" fillId="2" borderId="1" xfId="0" applyFont="1" applyFill="1" applyBorder="1"/>
    <xf numFmtId="0" fontId="3" fillId="2" borderId="1" xfId="0" applyFont="1" applyFill="1" applyBorder="1" applyAlignment="1">
      <alignment horizontal="center"/>
    </xf>
    <xf numFmtId="0" fontId="3" fillId="2" borderId="1" xfId="0" applyFont="1" applyFill="1" applyBorder="1" applyAlignment="1">
      <alignment horizontal="left"/>
    </xf>
    <xf numFmtId="0" fontId="3" fillId="2" borderId="17" xfId="0" applyFont="1" applyFill="1" applyBorder="1"/>
    <xf numFmtId="0" fontId="0" fillId="7" borderId="18" xfId="0" applyFill="1" applyBorder="1"/>
    <xf numFmtId="0" fontId="0" fillId="0" borderId="6" xfId="0" applyBorder="1"/>
    <xf numFmtId="0" fontId="0" fillId="0" borderId="19" xfId="0" applyBorder="1" applyAlignment="1">
      <alignment horizontal="center"/>
    </xf>
    <xf numFmtId="0" fontId="0" fillId="6" borderId="18" xfId="0" applyFill="1" applyBorder="1"/>
    <xf numFmtId="0" fontId="0" fillId="9" borderId="6" xfId="0" applyFill="1" applyBorder="1"/>
    <xf numFmtId="0" fontId="0" fillId="9" borderId="6" xfId="0" applyFill="1" applyBorder="1" applyAlignment="1">
      <alignment horizontal="left"/>
    </xf>
    <xf numFmtId="0" fontId="0" fillId="9" borderId="6" xfId="0" applyFill="1" applyBorder="1" applyAlignment="1">
      <alignment horizontal="center"/>
    </xf>
    <xf numFmtId="0" fontId="0" fillId="9" borderId="19" xfId="0" applyFill="1" applyBorder="1" applyAlignment="1">
      <alignment horizontal="center"/>
    </xf>
    <xf numFmtId="0" fontId="0" fillId="2" borderId="17" xfId="0" applyFill="1" applyBorder="1"/>
    <xf numFmtId="0" fontId="0" fillId="0" borderId="5" xfId="0" applyBorder="1"/>
    <xf numFmtId="0" fontId="0" fillId="9" borderId="20" xfId="0" applyFill="1" applyBorder="1"/>
    <xf numFmtId="0" fontId="0" fillId="0" borderId="14" xfId="0" applyBorder="1"/>
    <xf numFmtId="0" fontId="5" fillId="0" borderId="21" xfId="0" applyFont="1" applyBorder="1" applyAlignment="1">
      <alignment horizontal="centerContinuous"/>
    </xf>
    <xf numFmtId="0" fontId="0" fillId="0" borderId="7" xfId="0" pivotButton="1" applyBorder="1"/>
    <xf numFmtId="0" fontId="0" fillId="0" borderId="8" xfId="0" applyBorder="1"/>
    <xf numFmtId="0" fontId="0" fillId="0" borderId="10" xfId="0" applyBorder="1"/>
    <xf numFmtId="0" fontId="0" fillId="0" borderId="11" xfId="0" applyBorder="1" applyAlignment="1">
      <alignment horizontal="left"/>
    </xf>
    <xf numFmtId="0" fontId="0" fillId="0" borderId="15" xfId="0" applyBorder="1"/>
    <xf numFmtId="0" fontId="0" fillId="0" borderId="12" xfId="0" applyBorder="1" applyAlignment="1">
      <alignment horizontal="left"/>
    </xf>
    <xf numFmtId="0" fontId="0" fillId="0" borderId="13" xfId="0" applyBorder="1"/>
    <xf numFmtId="0" fontId="0" fillId="0" borderId="22" xfId="0" applyBorder="1"/>
    <xf numFmtId="0" fontId="0" fillId="0" borderId="11" xfId="0" applyBorder="1" applyAlignment="1">
      <alignment horizontal="center"/>
    </xf>
    <xf numFmtId="0" fontId="0" fillId="0" borderId="15" xfId="0" applyBorder="1" applyAlignment="1">
      <alignment horizontal="center"/>
    </xf>
    <xf numFmtId="0" fontId="0" fillId="0" borderId="13" xfId="0" applyBorder="1" applyAlignment="1">
      <alignment horizontal="center"/>
    </xf>
    <xf numFmtId="0" fontId="0" fillId="0" borderId="22" xfId="0" applyBorder="1" applyAlignment="1">
      <alignment horizontal="center"/>
    </xf>
    <xf numFmtId="0" fontId="0" fillId="0" borderId="7" xfId="0" pivotButton="1" applyBorder="1" applyAlignment="1">
      <alignment horizontal="left"/>
    </xf>
    <xf numFmtId="0" fontId="0" fillId="0" borderId="8" xfId="0" applyBorder="1" applyAlignment="1">
      <alignment horizontal="left"/>
    </xf>
    <xf numFmtId="0" fontId="0" fillId="0" borderId="10" xfId="0" applyBorder="1" applyAlignment="1">
      <alignment horizontal="left"/>
    </xf>
    <xf numFmtId="0" fontId="0" fillId="0" borderId="2" xfId="0" pivotButton="1" applyBorder="1" applyAlignment="1">
      <alignment horizontal="center"/>
    </xf>
    <xf numFmtId="0" fontId="0" fillId="0" borderId="2" xfId="0" pivotButton="1" applyBorder="1" applyAlignment="1">
      <alignment horizontal="left"/>
    </xf>
    <xf numFmtId="0" fontId="0" fillId="0" borderId="7" xfId="0" applyBorder="1" applyAlignment="1">
      <alignment horizontal="left"/>
    </xf>
    <xf numFmtId="0" fontId="0" fillId="2" borderId="8" xfId="0" applyFill="1" applyBorder="1" applyAlignment="1">
      <alignment horizontal="left"/>
    </xf>
    <xf numFmtId="0" fontId="0" fillId="10" borderId="2" xfId="0" applyFill="1" applyBorder="1"/>
    <xf numFmtId="0" fontId="0" fillId="10" borderId="2" xfId="0" applyFill="1" applyBorder="1" applyAlignment="1">
      <alignment horizontal="left"/>
    </xf>
    <xf numFmtId="0" fontId="2" fillId="2" borderId="3" xfId="0" applyFont="1" applyFill="1" applyBorder="1"/>
    <xf numFmtId="0" fontId="2" fillId="2" borderId="1" xfId="0" applyFont="1" applyFill="1" applyBorder="1"/>
    <xf numFmtId="0" fontId="2" fillId="2" borderId="1" xfId="0" applyFont="1" applyFill="1" applyBorder="1" applyAlignment="1">
      <alignment horizontal="left"/>
    </xf>
    <xf numFmtId="0" fontId="6" fillId="0" borderId="6" xfId="0" applyFont="1" applyBorder="1"/>
    <xf numFmtId="0" fontId="6" fillId="0" borderId="2" xfId="0" applyFont="1" applyBorder="1" applyAlignment="1">
      <alignment horizontal="left"/>
    </xf>
    <xf numFmtId="0" fontId="6" fillId="0" borderId="6" xfId="0" applyFont="1" applyBorder="1" applyAlignment="1">
      <alignment horizontal="center"/>
    </xf>
    <xf numFmtId="0" fontId="6" fillId="0" borderId="6" xfId="0" applyFont="1" applyBorder="1" applyAlignment="1">
      <alignment horizontal="left"/>
    </xf>
    <xf numFmtId="0" fontId="4" fillId="0" borderId="18" xfId="0" applyFont="1" applyBorder="1"/>
    <xf numFmtId="0" fontId="0" fillId="11" borderId="2" xfId="0" applyFill="1" applyBorder="1"/>
    <xf numFmtId="0" fontId="0" fillId="11" borderId="2" xfId="0" applyFill="1" applyBorder="1" applyAlignment="1">
      <alignment horizontal="left"/>
    </xf>
    <xf numFmtId="0" fontId="0" fillId="12" borderId="2" xfId="0" applyFill="1" applyBorder="1"/>
    <xf numFmtId="0" fontId="0" fillId="6" borderId="2" xfId="0" applyFill="1" applyBorder="1"/>
    <xf numFmtId="0" fontId="0" fillId="13" borderId="2" xfId="0" applyFill="1" applyBorder="1"/>
    <xf numFmtId="0" fontId="0" fillId="14" borderId="2" xfId="0" applyFill="1" applyBorder="1"/>
    <xf numFmtId="0" fontId="2" fillId="2" borderId="2" xfId="0" applyFont="1" applyFill="1" applyBorder="1" applyAlignment="1">
      <alignment horizontal="left"/>
    </xf>
    <xf numFmtId="0" fontId="0" fillId="15" borderId="2" xfId="0" applyFill="1" applyBorder="1"/>
    <xf numFmtId="0" fontId="6" fillId="2" borderId="3" xfId="0" applyFont="1" applyFill="1" applyBorder="1"/>
    <xf numFmtId="0" fontId="6" fillId="2" borderId="1" xfId="0" applyFont="1" applyFill="1" applyBorder="1"/>
    <xf numFmtId="0" fontId="6" fillId="2" borderId="1" xfId="0" applyFont="1" applyFill="1" applyBorder="1" applyAlignment="1">
      <alignment horizontal="center"/>
    </xf>
    <xf numFmtId="0" fontId="6" fillId="2" borderId="1" xfId="0" applyFont="1" applyFill="1" applyBorder="1" applyAlignment="1">
      <alignment horizontal="left"/>
    </xf>
    <xf numFmtId="0" fontId="6" fillId="2" borderId="17" xfId="0" applyFont="1" applyFill="1" applyBorder="1"/>
    <xf numFmtId="0" fontId="6" fillId="2" borderId="23" xfId="0" applyFont="1" applyFill="1" applyBorder="1"/>
    <xf numFmtId="0" fontId="6" fillId="2" borderId="24" xfId="0" applyFont="1" applyFill="1" applyBorder="1" applyAlignment="1">
      <alignment horizontal="left"/>
    </xf>
    <xf numFmtId="0" fontId="0" fillId="13" borderId="6" xfId="0" applyFill="1" applyBorder="1"/>
    <xf numFmtId="0" fontId="0" fillId="0" borderId="25" xfId="0" applyBorder="1" applyAlignment="1">
      <alignment horizontal="center"/>
    </xf>
    <xf numFmtId="0" fontId="0" fillId="12" borderId="5" xfId="0" applyFill="1" applyBorder="1"/>
  </cellXfs>
  <cellStyles count="1">
    <cellStyle name="Normal" xfId="0" builtinId="0"/>
  </cellStyles>
  <dxfs count="345">
    <dxf>
      <fill>
        <patternFill patternType="solid">
          <bgColor theme="4"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alignment horizontal="left"/>
    </dxf>
    <dxf>
      <alignment horizontal="left"/>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fill>
        <patternFill patternType="solid">
          <bgColor theme="4"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alignment horizontal="left"/>
    </dxf>
    <dxf>
      <alignment horizontal="lef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39997558519241921"/>
        </patternFill>
      </fill>
    </dxf>
    <dxf>
      <alignment horizontal="left"/>
    </dxf>
    <dxf>
      <alignment horizontal="left"/>
    </dxf>
    <dxf>
      <alignment horizontal="left"/>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alignment horizontal="left"/>
    </dxf>
    <dxf>
      <alignment horizontal="left"/>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alignment horizontal="left"/>
    </dxf>
    <dxf>
      <alignment horizontal="left"/>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tint="0.39997558519241921"/>
        </patternFill>
      </fill>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alignment horizontal="left"/>
    </dxf>
    <dxf>
      <alignment horizontal="left"/>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theme="4" tint="0.39997558519241921"/>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border outline="0">
        <left style="medium">
          <color indexed="64"/>
        </left>
        <right style="medium">
          <color indexed="64"/>
        </right>
        <top style="medium">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tint="0.39997558519241921"/>
        </patternFill>
      </fill>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33CC33"/>
        </patternFill>
      </fill>
      <border diagonalUp="0" diagonalDown="0">
        <left/>
        <right style="thin">
          <color indexed="64"/>
        </right>
        <top style="thin">
          <color indexed="64"/>
        </top>
        <bottom style="thin">
          <color indexed="64"/>
        </bottom>
        <vertical/>
        <horizontal/>
      </border>
    </dxf>
    <dxf>
      <border outline="0">
        <top style="medium">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4" tint="0.39997558519241921"/>
        </patternFill>
      </fill>
      <alignment horizontal="left" vertical="bottom" textRotation="0" wrapText="0" indent="0" justifyLastLine="0" shrinkToFit="0" readingOrder="0"/>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33CC33"/>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right style="thin">
          <color indexed="64"/>
        </right>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border outline="0">
        <bottom style="thin">
          <color indexed="64"/>
        </bottom>
      </border>
    </dxf>
    <dxf>
      <fill>
        <patternFill patternType="solid">
          <fgColor indexed="64"/>
          <bgColor theme="4" tint="0.39997558519241921"/>
        </patternFill>
      </fill>
      <border diagonalUp="0" diagonalDown="0" outline="0">
        <left style="thin">
          <color indexed="64"/>
        </left>
        <right style="thin">
          <color indexed="64"/>
        </right>
        <top/>
        <bottom/>
      </border>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theme="4" tint="0.39997558519241921"/>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rgb="FF33CC33"/>
        </patternFill>
      </fill>
      <border diagonalUp="0" diagonalDown="0">
        <left/>
        <right style="thin">
          <color indexed="64"/>
        </right>
        <top style="thin">
          <color indexed="64"/>
        </top>
        <bottom style="thin">
          <color indexed="64"/>
        </bottom>
        <vertical/>
        <horizontal/>
      </border>
    </dxf>
    <dxf>
      <border outline="0">
        <left style="medium">
          <color indexed="64"/>
        </left>
        <right style="medium">
          <color indexed="64"/>
        </right>
        <top style="medium">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tint="0.39997558519241921"/>
        </patternFill>
      </fill>
      <border diagonalUp="0" diagonalDown="0" outline="0">
        <left style="thin">
          <color indexed="64"/>
        </left>
        <right style="thin">
          <color indexed="64"/>
        </right>
        <top/>
        <bottom/>
      </border>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top style="thin">
          <color theme="4" tint="0.39997558519241921"/>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rgb="FFFF99CC"/>
        </patternFill>
      </fill>
      <border diagonalUp="0" diagonalDown="0">
        <left/>
        <right style="thin">
          <color indexed="64"/>
        </right>
        <top style="thin">
          <color indexed="64"/>
        </top>
        <bottom style="thin">
          <color indexed="64"/>
        </bottom>
        <vertical/>
        <horizontal/>
      </border>
    </dxf>
    <dxf>
      <border outline="0">
        <left style="medium">
          <color indexed="64"/>
        </left>
        <right style="medium">
          <color indexed="64"/>
        </right>
        <top style="medium">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tint="0.39997558519241921"/>
        </patternFill>
      </fill>
      <border diagonalUp="0" diagonalDown="0" outline="0">
        <left style="thin">
          <color indexed="64"/>
        </left>
        <right style="thin">
          <color indexed="64"/>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theme="4" tint="0.39997558519241921"/>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rgb="FF33CC33"/>
        </patternFill>
      </fill>
      <border diagonalUp="0" diagonalDown="0">
        <left/>
        <right style="thin">
          <color indexed="64"/>
        </right>
        <top style="thin">
          <color indexed="64"/>
        </top>
        <bottom style="thin">
          <color indexed="64"/>
        </bottom>
        <vertical/>
        <horizontal/>
      </border>
    </dxf>
    <dxf>
      <border outline="0">
        <left style="medium">
          <color indexed="64"/>
        </left>
        <right style="medium">
          <color indexed="64"/>
        </right>
        <top style="medium">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tint="0.39997558519241921"/>
        </patternFill>
      </fill>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theme="4" tint="0.39997558519241921"/>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rgb="FF33CC33"/>
        </patternFill>
      </fill>
      <border diagonalUp="0" diagonalDown="0">
        <left/>
        <right style="thin">
          <color indexed="64"/>
        </right>
        <top style="thin">
          <color indexed="64"/>
        </top>
        <bottom style="thin">
          <color indexed="64"/>
        </bottom>
        <vertical/>
        <horizontal/>
      </border>
    </dxf>
    <dxf>
      <border outline="0">
        <left style="medium">
          <color indexed="64"/>
        </left>
        <right style="medium">
          <color indexed="64"/>
        </right>
        <top style="medium">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4" tint="0.39997558519241921"/>
        </patternFill>
      </fill>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thin">
          <color indexed="64"/>
        </bottom>
      </border>
    </dxf>
    <dxf>
      <font>
        <b val="0"/>
        <strike val="0"/>
        <outline val="0"/>
        <shadow val="0"/>
        <u val="none"/>
        <vertAlign val="baseline"/>
        <sz val="11"/>
        <color auto="1"/>
        <name val="Calibri"/>
        <family val="2"/>
        <scheme val="minor"/>
      </font>
      <fill>
        <patternFill patternType="solid">
          <fgColor indexed="64"/>
          <bgColor theme="4" tint="0.39997558519241921"/>
        </patternFill>
      </fill>
      <border diagonalUp="0" diagonalDown="0" outline="0">
        <left style="thin">
          <color indexed="64"/>
        </left>
        <right style="thin">
          <color indexed="64"/>
        </right>
        <top/>
        <bottom/>
      </border>
    </dxf>
  </dxfs>
  <tableStyles count="0" defaultTableStyle="TableStyleMedium2" defaultPivotStyle="PivotStyleLight16"/>
  <colors>
    <mruColors>
      <color rgb="FFFF99CC"/>
      <color rgb="FFFF9933"/>
      <color rgb="FFFF3300"/>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887.126272453701" createdVersion="8" refreshedVersion="8" minRefreshableVersion="3" recordCount="46" xr:uid="{00000000-000A-0000-FFFF-FFFF00000000}">
  <cacheSource type="worksheet">
    <worksheetSource name="Table2"/>
  </cacheSource>
  <cacheFields count="17">
    <cacheField name="Year" numFmtId="0">
      <sharedItems containsSemiMixedTypes="0" containsString="0" containsNumber="1" containsInteger="1" minValue="2020" maxValue="2025" count="6">
        <n v="2020"/>
        <n v="2021"/>
        <n v="2022"/>
        <n v="2023"/>
        <n v="2024"/>
        <n v="2025"/>
      </sharedItems>
    </cacheField>
    <cacheField name="Authors" numFmtId="0">
      <sharedItems count="45">
        <s v="Gorlatova M.; Inaltekin H.; Chiang M."/>
        <s v="Cicconetti C.; Conti M.; Passarella A."/>
        <s v="Lee S.; Yoon D.; Yeo S.; Oh S."/>
        <s v="Arjona, Aitor; López, Pedro García; Sampé, Josep; Slominski, Aleksander; Villard, Lionel"/>
        <s v="I. Pelle; J. Czentye; J. DÃ³ka; A. Kern; B. P. GerÅ‘; B. Sonkoly"/>
        <s v="Banaei A.; Sharifi M."/>
        <s v="Tütüncüoğlu, Feridun; Jošilo, Sla\djana; Dán, György"/>
        <s v="Mahgoub, A; Yi, EB; Shankar, K; Minocha, E; Elnikety, S; Bagchi, S; Chaterji, S"/>
        <s v="Sabbioni A.; Rosa L.; Bujari A.; Foschini L.; Corradi A."/>
        <s v="Sethunath, Meenakshi; Peng, Yang"/>
        <s v="Burckhardt, Sebastian; Chandramouli, Badrish; Gillum, Chris; Justo, David; Kallas, Konstantinos; McMahon, Connor; Meiklejohn, Christopher S.; Zhu, Xiangfeng"/>
        <s v="Liu, Xuanzhe; Wen, Jinfeng; Chen, Zhenpeng; Li, Ding; Chen, Junkai; Liu, Yi; Wang, Haoyu; Jin, Xin"/>
        <s v="M. Golec; S. S. Gill; A. K. Parlikad; S. Uhlig"/>
        <s v="Li M.; Zhang J.; Lin J.; Chen Z.; Zheng X."/>
        <s v="Arjona A.; Finol G.; López P.G."/>
        <s v="Yang, Xinjun; Zhang, Yingqiang; Chen, Hao; Sun, Chuan; Li, Feifei; Zhou, Wenchao"/>
        <s v="Z. Wu; Y. Deng; Y. Zhou; L. Cui; X. Qin"/>
        <s v="Zheng S.; Liu B.; Lin W.; Ye X.; Li K."/>
        <s v="Yao X.; Chen N.; Yuan X.; Ou P."/>
        <s v="Ana Ebrahimi a, Mostafa Ghobaei-Arani a,*, Hadi Saboohi b"/>
        <s v="Karamzadeh A.; Shameli-Sendi A."/>
        <s v="Kumari A.; Sahoo B."/>
        <s v="C Chen, M Herrera, G Zheng, L Xia, Z Ling, J Wang"/>
        <s v="Czentye J.; Sonkoly B."/>
        <s v="Shahid U.; Ahmed G.; Siddiqui S.; Shuja J.; Balogun A.O."/>
        <s v="Baresi, Luciano; Hu, Davide Yi Xian; Quattrocchi, Giovanni; Terracciano, Luca"/>
        <s v="Datta, Somoshree; Addya, Sourav Kanti; Ghosh, Soumya K."/>
        <s v="Mirampalli S.; Wankar R.; Srirama S.N."/>
        <s v="Tran M.-N.; Kim Y."/>
        <s v="Karim S.; Qureshi K.N.; Ibrahim A.O.; Abulfaraj A.W.; Ghafoor K.Z."/>
        <s v="Yang J.; Abraham A."/>
        <s v="Sahaya Sakila V.; Manohar S."/>
        <s v="Katare, D; Marin, E; Kourtellis, N; Janssen, M; Ding, AY"/>
        <s v="Wang Z.; Goudarzi M.; Gong M.; Buyya R."/>
        <s v="Dehury C.K.; Poojara S.; Srirama S.N."/>
        <s v="Lu X.; Li N.; Yuan L.; Zhang J."/>
        <s v="Salcedo-Navarro A.; Peña-Ortiz R.; Claver J.M.; Garcia-Pineda M.; Gutiérrez-Aguado J."/>
        <s v="Daraghmeh M.; Jararweh Y.; Agarwal A."/>
        <s v="Li M.; Xu F.; Wu Y.; Zhang J.; Xu W.; Wu Y."/>
        <s v="Chen Y.; Liu B.; Lin W.; Guo Y.; Peng Z."/>
        <s v="Mampage A.; Karunasekera S.; Buyya R."/>
        <s v="Huang X.; Gu R.; Huang Y."/>
        <s v="J. VepsÃ¤lÃ¤inen; P. Vuorimaa; A. Hellas"/>
        <s v="S. Liu; L. Pan; S. Liu; K. Qi"/>
        <s v="Akour, Mohammed; Alenezi, Mamdouh"/>
      </sharedItems>
    </cacheField>
    <cacheField name="Title" numFmtId="0">
      <sharedItems count="46">
        <s v="Characterizing task completion latencies in multi-point multi-quality fog computing systems"/>
        <s v="Uncoordinated access to serverless computing in MEC systems for IoT"/>
        <s v="Architecture and performance evaluation of distributed computation offloading in edge computing"/>
        <s v="Mitigating cold start problem in serverless computing with function fusion"/>
        <s v="Triggerflow: Trigger-based orchestration of serverless workflows"/>
        <s v="Operating Latency Sensitive Applications on Public Serverless Edge Cloud Platforms"/>
        <s v="ETAS: predictive scheduling of functions on worker nodes of Apache OpenWhisk platform"/>
        <s v="Online Learning for Rate-Adaptive Task Offloading Under Latency Constraints in Serverless Edge Computing"/>
        <s v="WiseFuse: Workload Characterization and DAG Transformation for ServerlessWorkflows"/>
        <s v="DIFFUSE: A DIstributed and decentralized platForm enabling Function composition in Serverless Environments"/>
        <s v="A joint function warm-up and request routing scheme for performing confident serverless computing"/>
        <s v="Netherite: efficient execution of serverless workflows"/>
        <s v="FaaSLight: General Application-level Cold-start Latency Optimization for Function-as-a-Service in Serverless Computing"/>
        <s v="HealthFaaS: AI-Based Smart Healthcare System for Heart Patients Using Serverless Computing"/>
        <s v="FireFace: Leveraging Internal Function Features for Configuration of Functions on Serverless Edge Platforms"/>
        <s v="Transparent serverless execution of Python multiprocessing applications"/>
        <s v="PolarDB-SCC: A Cloud-Native Database Ensuring Low Latency for Strongly Consistent Reads"/>
        <s v="HashCache: Accelerating Serverless Computing by Skipping Duplicated Function Execution"/>
        <s v="A package-aware scheduling strategy for edge serverless functions based on multi-stage optimization"/>
        <s v="Performance optimization of serverless edge computing function offloading based on deep reinforcement learning"/>
        <s v="Cold start latency mitigation mechanisms in serverless computing: Taxonomy, review, and future directions"/>
        <s v="Reducing cold start delay in serverless computing using lightweight virtual machines"/>
        <s v="ACPM: adaptive container provisioning model to mitigate serverless cold-start"/>
        <s v="Cross-Edge Orchestration of Serverless Functions with Probabilistic Caching"/>
        <s v="Serverless application composition leveraging function fusion: Theory and algorithms"/>
        <s v="Latency-Sensitive Function Placement among Heterogeneous Nodes in Serverless Computing"/>
        <s v="NEPTUNE: A Comprehensive Framework for Managing Serverless Functions at the Edge"/>
        <s v="ESMA: Towards elevating system happiness in a decentralized serverless edge computing framework"/>
        <s v="Evaluating NiFi and MQTT based serverless data pipelines in fog computing environments"/>
        <s v="Concurrent service auto-scaling for Knative resource quota-based serverless system"/>
        <s v="Enhanced centroid-based energy-efficient clustering routing protocol for serverless based wireless sensor networks"/>
        <s v="Analyzing the Features, Usability, and Performance of Deploying a Containerized Mobile Web Application on Serverless Cloud Platforms"/>
        <s v="Real-time air quality monitoring in Bull Trench Kiln-based Brick industry by calibrating sensor readings and utilizing the Serverless Computing"/>
        <s v="ARASEC: Adaptive Resource Allocation and Model Training for Serverless EdgeCloud Computing"/>
        <s v="Deep Reinforcement Learning-based scheduling for optimizing system load and response time in edge and fog computing environments"/>
        <s v="Def-DReL: Towards a sustainable serverless functions deployment strategy for fog-cloud environments using deep reinforcement learning"/>
        <s v="Enhancing Resource Utilization Efficiency in Serverless Education: A Stateful Approach with Rofuse"/>
        <s v="Towards GPU-enabled serverless cloud edge platforms for accelerating HEVC video coding"/>
        <s v="Leveraging machine learning and feature engineering for optimal data-driven scaling decision in serverless computing"/>
        <s v="Real-time task dispatching and scheduling in serverless edge computing"/>
        <s v="CASR: Optimizing cold start and resources utilization in serverless computing"/>
        <s v="A deep reinforcement learning based algorithm for time and cost optimized scaling of serverless applications"/>
        <s v="Towards Efficient Serverless MapReduce Computing on Cloud-Native Platforms"/>
        <s v="The Potential of Serverless Edge-Powered Islands for Web Development"/>
        <s v="An Online Algorithm for Inference Service Scheduling Using Combinations of Server-Based and Serverless Instances in Cloud Environments"/>
        <s v="Reducing Environmental Impact with Sustainable Serverless Computing"/>
      </sharedItems>
    </cacheField>
    <cacheField name="Abstract" numFmtId="0">
      <sharedItems longText="1"/>
    </cacheField>
    <cacheField name="Publication Stage" numFmtId="0">
      <sharedItems/>
    </cacheField>
    <cacheField name="Publisher" numFmtId="0">
      <sharedItems/>
    </cacheField>
    <cacheField name="Scoope" numFmtId="0">
      <sharedItems/>
    </cacheField>
    <cacheField name="Factors" numFmtId="0">
      <sharedItems containsMixedTypes="1" containsNumber="1" containsInteger="1" minValue="0" maxValue="0"/>
    </cacheField>
    <cacheField name="Execution Time (T)" numFmtId="0">
      <sharedItems containsBlank="1" count="2">
        <m/>
        <s v="T"/>
      </sharedItems>
    </cacheField>
    <cacheField name="Cold start (S)" numFmtId="0">
      <sharedItems containsBlank="1" count="2">
        <m/>
        <s v="S"/>
      </sharedItems>
    </cacheField>
    <cacheField name="Latency (L)" numFmtId="0">
      <sharedItems count="1">
        <s v="L"/>
      </sharedItems>
    </cacheField>
    <cacheField name="Workload (W)" numFmtId="0">
      <sharedItems containsBlank="1" count="2">
        <m/>
        <s v="W"/>
      </sharedItems>
    </cacheField>
    <cacheField name="Cost /Price (c)" numFmtId="0">
      <sharedItems containsBlank="1" count="2">
        <m/>
        <s v="C"/>
      </sharedItems>
    </cacheField>
    <cacheField name="Throughput (P)" numFmtId="0">
      <sharedItems containsBlank="1" count="2">
        <m/>
        <s v="P"/>
      </sharedItems>
    </cacheField>
    <cacheField name="Method/Technique" numFmtId="0">
      <sharedItems/>
    </cacheField>
    <cacheField name="Contribution of the research" numFmtId="0">
      <sharedItems containsBlank="1"/>
    </cacheField>
    <cacheField name="Column2" numFmtId="0">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887.14477673611" createdVersion="8" refreshedVersion="8" minRefreshableVersion="3" recordCount="36" xr:uid="{00000000-000A-0000-FFFF-FFFF01000000}">
  <cacheSource type="worksheet">
    <worksheetSource name="Table3"/>
  </cacheSource>
  <cacheFields count="17">
    <cacheField name="Year" numFmtId="0">
      <sharedItems containsSemiMixedTypes="0" containsString="0" containsNumber="1" containsInteger="1" minValue="2020" maxValue="2025" count="6">
        <n v="2020"/>
        <n v="2021"/>
        <n v="2022"/>
        <n v="2023"/>
        <n v="2024"/>
        <n v="2025"/>
      </sharedItems>
    </cacheField>
    <cacheField name="Authors" numFmtId="0">
      <sharedItems/>
    </cacheField>
    <cacheField name="Title" numFmtId="0">
      <sharedItems/>
    </cacheField>
    <cacheField name="Abstract" numFmtId="0">
      <sharedItems longText="1"/>
    </cacheField>
    <cacheField name="Publication Stage" numFmtId="0">
      <sharedItems/>
    </cacheField>
    <cacheField name="Publisher" numFmtId="0">
      <sharedItems/>
    </cacheField>
    <cacheField name="Scoope" numFmtId="0">
      <sharedItems/>
    </cacheField>
    <cacheField name="Factors" numFmtId="0">
      <sharedItems containsMixedTypes="1" containsNumber="1" containsInteger="1" minValue="0" maxValue="0"/>
    </cacheField>
    <cacheField name="Execution Time (T)" numFmtId="0">
      <sharedItems containsBlank="1" count="2">
        <m/>
        <s v="T"/>
      </sharedItems>
    </cacheField>
    <cacheField name="Cold start (S)" numFmtId="0">
      <sharedItems containsBlank="1" count="2">
        <m/>
        <s v="S"/>
      </sharedItems>
    </cacheField>
    <cacheField name="Latency (L)" numFmtId="0">
      <sharedItems containsBlank="1" count="2">
        <m/>
        <s v="L"/>
      </sharedItems>
    </cacheField>
    <cacheField name="Workload (W)" numFmtId="0">
      <sharedItems containsBlank="1" count="2">
        <m/>
        <s v="W"/>
      </sharedItems>
    </cacheField>
    <cacheField name="Cost /Price (c)" numFmtId="0">
      <sharedItems count="1">
        <s v="C"/>
      </sharedItems>
    </cacheField>
    <cacheField name="Throughput (P)" numFmtId="0">
      <sharedItems containsBlank="1" count="2">
        <m/>
        <s v="P"/>
      </sharedItems>
    </cacheField>
    <cacheField name="Method/Technique" numFmtId="0">
      <sharedItems/>
    </cacheField>
    <cacheField name="Contribution of the research" numFmtId="0">
      <sharedItems/>
    </cacheField>
    <cacheField name="Column2" numFmtId="0">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887.148227199075" createdVersion="8" refreshedVersion="8" minRefreshableVersion="3" recordCount="23" xr:uid="{00000000-000A-0000-FFFF-FFFF02000000}">
  <cacheSource type="worksheet">
    <worksheetSource name="Table4"/>
  </cacheSource>
  <cacheFields count="17">
    <cacheField name="Year" numFmtId="0">
      <sharedItems containsSemiMixedTypes="0" containsString="0" containsNumber="1" containsInteger="1" minValue="2020" maxValue="2025" count="6">
        <n v="2020"/>
        <n v="2021"/>
        <n v="2022"/>
        <n v="2023"/>
        <n v="2024"/>
        <n v="2025"/>
      </sharedItems>
    </cacheField>
    <cacheField name="Authors" numFmtId="0">
      <sharedItems/>
    </cacheField>
    <cacheField name="Title" numFmtId="0">
      <sharedItems/>
    </cacheField>
    <cacheField name="Abstract" numFmtId="0">
      <sharedItems longText="1"/>
    </cacheField>
    <cacheField name="Publication Stage" numFmtId="0">
      <sharedItems/>
    </cacheField>
    <cacheField name="Publisher" numFmtId="0">
      <sharedItems/>
    </cacheField>
    <cacheField name="Scoope" numFmtId="0">
      <sharedItems/>
    </cacheField>
    <cacheField name="Factors" numFmtId="0">
      <sharedItems containsMixedTypes="1" containsNumber="1" containsInteger="1" minValue="0" maxValue="0"/>
    </cacheField>
    <cacheField name="Execution Time (T)" numFmtId="0">
      <sharedItems count="1">
        <s v="T"/>
      </sharedItems>
    </cacheField>
    <cacheField name="Cold start (S)" numFmtId="0">
      <sharedItems containsBlank="1" count="2">
        <m/>
        <s v="S"/>
      </sharedItems>
    </cacheField>
    <cacheField name="Latency (L)" numFmtId="0">
      <sharedItems containsBlank="1" count="2">
        <m/>
        <s v="L"/>
      </sharedItems>
    </cacheField>
    <cacheField name="Workload (W)" numFmtId="0">
      <sharedItems containsBlank="1" count="2">
        <m/>
        <s v="W"/>
      </sharedItems>
    </cacheField>
    <cacheField name="Cost /Price (c)" numFmtId="0">
      <sharedItems containsBlank="1" count="2">
        <m/>
        <s v="C"/>
      </sharedItems>
    </cacheField>
    <cacheField name="Throughput (P)" numFmtId="0">
      <sharedItems containsBlank="1" count="2">
        <m/>
        <s v="P"/>
      </sharedItems>
    </cacheField>
    <cacheField name="Method/Technique" numFmtId="0">
      <sharedItems/>
    </cacheField>
    <cacheField name="Contribution of the research" numFmtId="0">
      <sharedItems containsBlank="1"/>
    </cacheField>
    <cacheField name="Column2" numFmtId="0">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887.149751851852" createdVersion="8" refreshedVersion="8" minRefreshableVersion="3" recordCount="20" xr:uid="{00000000-000A-0000-FFFF-FFFF03000000}">
  <cacheSource type="worksheet">
    <worksheetSource name="Table5"/>
  </cacheSource>
  <cacheFields count="17">
    <cacheField name="Year" numFmtId="0">
      <sharedItems containsSemiMixedTypes="0" containsString="0" containsNumber="1" containsInteger="1" minValue="2020" maxValue="2025" count="6">
        <n v="2020"/>
        <n v="2021"/>
        <n v="2022"/>
        <n v="2023"/>
        <n v="2024"/>
        <n v="2025"/>
      </sharedItems>
    </cacheField>
    <cacheField name="Authors" numFmtId="0">
      <sharedItems/>
    </cacheField>
    <cacheField name="Title" numFmtId="0">
      <sharedItems/>
    </cacheField>
    <cacheField name="Abstract" numFmtId="0">
      <sharedItems longText="1"/>
    </cacheField>
    <cacheField name="Publication Stage" numFmtId="0">
      <sharedItems/>
    </cacheField>
    <cacheField name="Publisher" numFmtId="0">
      <sharedItems/>
    </cacheField>
    <cacheField name="Scoope" numFmtId="0">
      <sharedItems/>
    </cacheField>
    <cacheField name="Factors" numFmtId="0">
      <sharedItems containsMixedTypes="1" containsNumber="1" containsInteger="1" minValue="0" maxValue="0"/>
    </cacheField>
    <cacheField name="Execution Time (T)" numFmtId="0">
      <sharedItems containsBlank="1" count="2">
        <m/>
        <s v="T"/>
      </sharedItems>
    </cacheField>
    <cacheField name="Cold start (S)" numFmtId="0">
      <sharedItems containsBlank="1" count="2">
        <m/>
        <s v="S"/>
      </sharedItems>
    </cacheField>
    <cacheField name="Latency (L)" numFmtId="0">
      <sharedItems containsBlank="1" count="2">
        <m/>
        <s v="L"/>
      </sharedItems>
    </cacheField>
    <cacheField name="Workload (W)" numFmtId="0">
      <sharedItems count="1">
        <s v="W"/>
      </sharedItems>
    </cacheField>
    <cacheField name="Cost /Price (c)" numFmtId="0">
      <sharedItems containsBlank="1" count="2">
        <m/>
        <s v="C"/>
      </sharedItems>
    </cacheField>
    <cacheField name="Throughput (P)" numFmtId="0">
      <sharedItems containsBlank="1" count="2">
        <m/>
        <s v="P"/>
      </sharedItems>
    </cacheField>
    <cacheField name="Method/Technique" numFmtId="0">
      <sharedItems/>
    </cacheField>
    <cacheField name="Contribution of the research" numFmtId="0">
      <sharedItems containsBlank="1"/>
    </cacheField>
    <cacheField name="Column2" numFmtId="0">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887.151699884256" createdVersion="8" refreshedVersion="8" minRefreshableVersion="3" recordCount="16" xr:uid="{00000000-000A-0000-FFFF-FFFF04000000}">
  <cacheSource type="worksheet">
    <worksheetSource name="Table6"/>
  </cacheSource>
  <cacheFields count="17">
    <cacheField name="Year" numFmtId="0">
      <sharedItems containsSemiMixedTypes="0" containsString="0" containsNumber="1" containsInteger="1" minValue="2020" maxValue="2025" count="5">
        <n v="2020"/>
        <n v="2021"/>
        <n v="2023"/>
        <n v="2024"/>
        <n v="2025"/>
      </sharedItems>
    </cacheField>
    <cacheField name="Authors" numFmtId="0">
      <sharedItems/>
    </cacheField>
    <cacheField name="Title" numFmtId="0">
      <sharedItems/>
    </cacheField>
    <cacheField name="Abstract" numFmtId="0">
      <sharedItems longText="1"/>
    </cacheField>
    <cacheField name="Publication Stage" numFmtId="0">
      <sharedItems/>
    </cacheField>
    <cacheField name="Publisher" numFmtId="0">
      <sharedItems/>
    </cacheField>
    <cacheField name="Scoope" numFmtId="0">
      <sharedItems/>
    </cacheField>
    <cacheField name="Factors" numFmtId="0">
      <sharedItems containsMixedTypes="1" containsNumber="1" containsInteger="1" minValue="0" maxValue="0"/>
    </cacheField>
    <cacheField name="Execution Time (T)" numFmtId="0">
      <sharedItems containsBlank="1" count="2">
        <m/>
        <s v="T"/>
      </sharedItems>
    </cacheField>
    <cacheField name="Cold start (S)" numFmtId="0">
      <sharedItems count="1">
        <s v="S"/>
      </sharedItems>
    </cacheField>
    <cacheField name="Latency (L)" numFmtId="0">
      <sharedItems containsBlank="1" count="2">
        <m/>
        <s v="L"/>
      </sharedItems>
    </cacheField>
    <cacheField name="Workload (W)" numFmtId="0">
      <sharedItems containsBlank="1" count="2">
        <m/>
        <s v="W"/>
      </sharedItems>
    </cacheField>
    <cacheField name="Cost /Price (c)" numFmtId="0">
      <sharedItems containsBlank="1" count="2">
        <m/>
        <s v="C"/>
      </sharedItems>
    </cacheField>
    <cacheField name="Throughput (P)" numFmtId="0">
      <sharedItems containsBlank="1" count="2">
        <m/>
        <s v="P"/>
      </sharedItems>
    </cacheField>
    <cacheField name="Method/Technique" numFmtId="0">
      <sharedItems/>
    </cacheField>
    <cacheField name="Contribution of the research" numFmtId="0">
      <sharedItems containsBlank="1"/>
    </cacheField>
    <cacheField name="Column2" numFmtId="0">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887.153176041669" createdVersion="8" refreshedVersion="8" minRefreshableVersion="3" recordCount="5" xr:uid="{00000000-000A-0000-FFFF-FFFF05000000}">
  <cacheSource type="worksheet">
    <worksheetSource name="Table7"/>
  </cacheSource>
  <cacheFields count="17">
    <cacheField name="Year" numFmtId="0">
      <sharedItems containsSemiMixedTypes="0" containsString="0" containsNumber="1" containsInteger="1" minValue="2022" maxValue="2024" count="3">
        <n v="2022"/>
        <n v="2023"/>
        <n v="2024"/>
      </sharedItems>
    </cacheField>
    <cacheField name="Authors" numFmtId="0">
      <sharedItems/>
    </cacheField>
    <cacheField name="Title" numFmtId="0">
      <sharedItems/>
    </cacheField>
    <cacheField name="Abstract" numFmtId="0">
      <sharedItems longText="1"/>
    </cacheField>
    <cacheField name="Publication Stage" numFmtId="0">
      <sharedItems/>
    </cacheField>
    <cacheField name="Publisher" numFmtId="0">
      <sharedItems/>
    </cacheField>
    <cacheField name="Scoope" numFmtId="0">
      <sharedItems/>
    </cacheField>
    <cacheField name="Factors" numFmtId="0">
      <sharedItems containsSemiMixedTypes="0" containsString="0" containsNumber="1" containsInteger="1" minValue="0" maxValue="0"/>
    </cacheField>
    <cacheField name="Execution Time (T)" numFmtId="0">
      <sharedItems containsBlank="1" count="2">
        <s v="T"/>
        <m/>
      </sharedItems>
    </cacheField>
    <cacheField name="Cold start (S)" numFmtId="0">
      <sharedItems containsBlank="1" count="2">
        <m/>
        <s v="S"/>
      </sharedItems>
    </cacheField>
    <cacheField name="Latency (L)" numFmtId="0">
      <sharedItems count="1">
        <s v="L"/>
      </sharedItems>
    </cacheField>
    <cacheField name="Workload (W)" numFmtId="0">
      <sharedItems containsBlank="1" count="2">
        <m/>
        <s v="W"/>
      </sharedItems>
    </cacheField>
    <cacheField name="Cost /Price (c)" numFmtId="0">
      <sharedItems containsBlank="1" count="2">
        <m/>
        <s v="C"/>
      </sharedItems>
    </cacheField>
    <cacheField name="Throughput (P)" numFmtId="0">
      <sharedItems count="1">
        <s v="P"/>
      </sharedItems>
    </cacheField>
    <cacheField name="Method/Technique" numFmtId="0">
      <sharedItems/>
    </cacheField>
    <cacheField name="Contribution of the research" numFmtId="0">
      <sharedItems/>
    </cacheField>
    <cacheField name="Column2" numFmtId="0">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888.665296527775" createdVersion="8" refreshedVersion="8" minRefreshableVersion="3" recordCount="10" xr:uid="{00000000-000A-0000-FFFF-FFFF06000000}">
  <cacheSource type="worksheet">
    <worksheetSource name="Table8"/>
  </cacheSource>
  <cacheFields count="18">
    <cacheField name="Year" numFmtId="0">
      <sharedItems containsSemiMixedTypes="0" containsString="0" containsNumber="1" containsInteger="1" minValue="2020" maxValue="2025" count="5">
        <n v="2020"/>
        <n v="2022"/>
        <n v="2023"/>
        <n v="2024"/>
        <n v="2025"/>
      </sharedItems>
    </cacheField>
    <cacheField name="Authors" numFmtId="0">
      <sharedItems/>
    </cacheField>
    <cacheField name="Title" numFmtId="0">
      <sharedItems/>
    </cacheField>
    <cacheField name="Abstract" numFmtId="0">
      <sharedItems longText="1"/>
    </cacheField>
    <cacheField name="Publication Stage" numFmtId="0">
      <sharedItems/>
    </cacheField>
    <cacheField name="Publisher" numFmtId="0">
      <sharedItems/>
    </cacheField>
    <cacheField name="Scoope" numFmtId="0">
      <sharedItems/>
    </cacheField>
    <cacheField name="Blank" numFmtId="0">
      <sharedItems containsSemiMixedTypes="0" containsString="0" containsNumber="1" containsInteger="1" minValue="0" maxValue="0"/>
    </cacheField>
    <cacheField name="Execution Time (T)" numFmtId="0">
      <sharedItems containsBlank="1" count="2">
        <m/>
        <s v="T"/>
      </sharedItems>
    </cacheField>
    <cacheField name="Cold start (S)" numFmtId="0">
      <sharedItems containsBlank="1" count="2">
        <m/>
        <s v="S"/>
      </sharedItems>
    </cacheField>
    <cacheField name="Latency (L)" numFmtId="0">
      <sharedItems containsBlank="1" count="2">
        <m/>
        <s v="L"/>
      </sharedItems>
    </cacheField>
    <cacheField name="Workload (W)" numFmtId="0">
      <sharedItems containsBlank="1" count="2">
        <s v="W"/>
        <m/>
      </sharedItems>
    </cacheField>
    <cacheField name="Cost /Price (c)" numFmtId="0">
      <sharedItems containsBlank="1" count="2">
        <m/>
        <s v="C"/>
      </sharedItems>
    </cacheField>
    <cacheField name="Throughput (P)" numFmtId="0">
      <sharedItems containsNonDate="0" containsString="0" containsBlank="1" count="1">
        <m/>
      </sharedItems>
    </cacheField>
    <cacheField name="Resouce Allocation" numFmtId="0">
      <sharedItems count="1">
        <s v="R"/>
      </sharedItems>
    </cacheField>
    <cacheField name="Method/Technique" numFmtId="0">
      <sharedItems/>
    </cacheField>
    <cacheField name="Contribution of the research" numFmtId="0">
      <sharedItems/>
    </cacheField>
    <cacheField name="No. of Metrics" numFmtId="0">
      <sharedItems containsSemiMixedTypes="0" containsString="0" containsNumber="1" containsInteger="1" minValue="1" maxValue="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x v="0"/>
    <x v="0"/>
    <x v="0"/>
    <s v="Fog computing, which distributes computing resources to multiple locations between the Internet of Things (IoT) devices and the cloud, is attracting considerable attention from academia and industry. Yet, despite the excitement about the potential of fog computing, few comprehensive studies quantitatively characterizing the properties of fog computing architectures have been conducted. In this paper we examine the statistical properties of fog computing task completion latencies, which are important to understand to develop algorithms that match IoT nodes’ tasks with the best execution points within the fog computing substrate. Towards characterizing task completion latencies, we developed and deployed a set of benchmarks in 6 different locations, which included local nodes of different grades, conventional cloud computing services in two different regions, and Amazon Web Services (AWS) and Microsoft Azure serverless computing options. Using the developed infrastructure, we conducted a series of targeted experiments with a node invoking our benchmarks from different locations and in different conditions. The empirical study elucidated several important properties of task execution latencies, including latency variation across different execution points and execution options, and stability with respect to time. The study also demonstrated important properties of serverless execution options, and showed that statistical structure of computing latencies can be accurately characterized based on a small number (only 10–50) of latency samples. The complete measurement set we have captured as part of this study is publicly available. © 2020 Elsevier B.V."/>
    <s v="Final"/>
    <s v="Scopus"/>
    <s v="IoT / Fog computing"/>
    <n v="0"/>
    <x v="0"/>
    <x v="0"/>
    <x v="0"/>
    <x v="0"/>
    <x v="0"/>
    <x v="0"/>
    <s v="empirical study statistical properties of fog computing task completion latencies"/>
    <s v="task execution latencies"/>
    <n v="1"/>
  </r>
  <r>
    <x v="0"/>
    <x v="1"/>
    <x v="1"/>
    <s v="Edge computing is a promising solution to enable low-latency Internet of Things (IoT) applications, by shifting computation from remote data centers to local devices, less powerful but closer to the end user devices. However, this creates the challenge on how to best assign clients to edge nodes offering compute capabilities. So far, two antithetical architectures are proposed: centralized resource orchestration or distributed overlay. In this work we explore a third way, called uncoordinated access, which consists in letting every device exploring multiple opportunities, to opportunistically embrace the heterogeneity of network and load conditions towards diverse edge nodes. In particular, our contribution is intended for emerging serverless IoT applications, which do not have a state on the edge nodes executing tasks. We model the proposed system as a set of M/M/1 queues and show that it achieves a smaller delay than single edge node allocation. Furthermore, we compare uncoordinated access with state-of-the-art centralized and distributed alternatives in testbed experiments under more realistic conditions. Based on the results, our proposed approach, which requires a tiny fraction of the complexity of the alternatives in both the device and network components, is very effective in using the network resources, while incurring only a small penalty in terms of increased compute load and high percentiles of delay. © 2020 Elsevier B.V."/>
    <s v="Final"/>
    <s v="Scopus"/>
    <s v="IoT"/>
    <s v="IoT for Edge computing"/>
    <x v="0"/>
    <x v="0"/>
    <x v="0"/>
    <x v="0"/>
    <x v="0"/>
    <x v="0"/>
    <s v="uncoordinated access for centralized resource orchestration"/>
    <s v="increased compute load and high percentiles of delay"/>
    <n v="1"/>
  </r>
  <r>
    <x v="0"/>
    <x v="1"/>
    <x v="2"/>
    <s v="Edge computing is an emerging paradigm to enable low-latency applications, like mobile augmented reality, because it takes the computation on processing devices that are closer to the users. On the other hand, the need for highly scalable execution of stateless tasks for cloud systems is driving the definition of new technologies based on serverless computing. In this paper, we propose a novel architecture where the two converge to enable low-latency applications: This is achieved by offloading short-lived stateless tasks from the user terminals to edge nodes. Furthermore, we design a distributed algorithm that tackles the research challenge of selecting the best executor, based on real-time measurements and simple, yet effective, prediction algorithms. Finally, we describe a new performance evaluation framework specifically designed for an accurate assessment of algorithms and protocols in edge computing environments, where the nodes may have very heterogeneous networking and processing capabilities. The proposed framework relies on the use of real components on lightweight virtualization mixed with simulated computation and is well-suited to the analysis of several applications and network environments. Using our framework, we evaluate our proposed architecture and algorithms in small- and large-scale edge computing scenarios, showing that our solution achieves similar or better delay performance than a centralized solution, with far less network utilization. © 2019 Elsevier B.V."/>
    <s v="Final"/>
    <s v="Scopus"/>
    <s v="edge computing"/>
    <n v="0"/>
    <x v="0"/>
    <x v="0"/>
    <x v="0"/>
    <x v="0"/>
    <x v="0"/>
    <x v="0"/>
    <s v="Performance evaluation framework"/>
    <s v="better delay performance"/>
    <n v="1"/>
  </r>
  <r>
    <x v="1"/>
    <x v="2"/>
    <x v="3"/>
    <s v="As Artificial Intelligence (AI) is becoming ubiquitous in many applications, serverless computing is also emerging as a building block for developing cloud-based AI services. Serverless computing has received much interest because of its simplicity, scalability, and resource efficiency. However, due to the trade-off with resource efficiency, serverless computing suffers from the cold start problem, that is, a latency between a request arrival and function execution. The cold start problem significantly influences the overall response time of workflow that consists of functions because the cold start may occur in every function within the workflow. Function fusion can be one of the solutions to mitigate the cold start latency of a workflow. If two functions are fused into a single function, the cold start of the second function is removed; however, if parallel functions are fused, the workflow response time can be increased because the parallel functions run sequentially even if the cold start latency is reduced. This study presents an approach to mitigate the cold start latency of a workflow using function fusion while considering a parallel run. First, we identify three latencies that affect response time, present a workflow response time model considering the latency, and efficiently find a fusion solution that can optimize the response time on the cold start. Our method shows a response time of 28–86% of the response time of the original workflow in five workflows. © 2021 by the authors. Licensee MDPI, Basel, Switzerland."/>
    <s v="Final"/>
    <s v="Scopus"/>
    <s v="AI in cloud-based serverless"/>
    <s v="time (latency because of cold start) "/>
    <x v="0"/>
    <x v="1"/>
    <x v="0"/>
    <x v="0"/>
    <x v="0"/>
    <x v="0"/>
    <s v="mitigate the cold start latency by optimiza workflow response time "/>
    <s v="Improve response time of the original workflow"/>
    <n v="1"/>
  </r>
  <r>
    <x v="1"/>
    <x v="3"/>
    <x v="4"/>
    <s v="As more applications are being moved to the Cloud thanks to serverless computing, it is increasingly necessary to support the native life cycle execution of those applications in the data center. But existing cloud orchestration systems either focus on short-running workflows (like IBM Composer or Amazon Step Functions Express Workflows) or impose considerable overheads for synchronizing massively parallel jobs (Azure Durable Functions, Amazon Step Functions). None of them are open systems enabling extensible interception and optimization of custom workflows. We present Triggerflow: an extensible Trigger-based Orchestration architecture for serverless workflows. We demonstrate that Triggerflow is a novel serverless building block capable of constructing different reactive orchestrators (State Machines, Directed Acyclic Graphs, Workflow as code, Federated Learning orchestrator). We also validate that it can support high-volume event processing workloads, auto-scale on demand with scale down to zero when not used, and transparently guarantee fault tolerance and efficient resource usage when orchestrating long running scientific workflows."/>
    <s v="Future Generation Computer Systems"/>
    <s v="Science Direct"/>
    <s v="serverless computing model"/>
    <s v="workload balancing /overhead parallel jobs"/>
    <x v="0"/>
    <x v="0"/>
    <x v="0"/>
    <x v="1"/>
    <x v="0"/>
    <x v="0"/>
    <s v="Triggerflow: an extensible Trigger-based Orchestration architecture for serverless workflows"/>
    <s v="support high-volume event processing workloads"/>
    <n v="1"/>
  </r>
  <r>
    <x v="1"/>
    <x v="4"/>
    <x v="5"/>
    <s v="Cloud native programming and serverless architectures provide a novel way of software development and operation. A new generation of applications can be realized with features never seen before while the burden on developers and operators will be reduced significantly. However, latency sensitive applications, such as various distributed IoT services, generally do not fit in well with the new concepts and today's platforms. In this article, we adapt the cloud native approach and related operating techniques for latency sensitive IoT applications operated on public serverless platforms. We argue that solely adding cloud resources to the edge is not enough and other mechanisms and operation layers are required to achieve the desired level of quality. Our contribution is threefold. First, we propose a novel system on top of a public serverless edge cloud platform, which can dynamically optimize and deploy the microservice-based software layout based on live performance measurements. We add two control loops and the corresponding mechanisms which are responsible for the online reoptimization at different timescales. The first one addresses the steady-state operation, while the second one provides fast latency control by directly reconfiguring the serverless runtime environments. Second, we apply our general concepts to one of today's most widely used and versatile public cloud platforms, namely, Amazon's AWS, and its edge extension for IoT applications, called Greengrass. Third, we characterize the main operation phases and evaluate the overall performance of the system. We analyze the performance characteristics of the two control loops and investigate different implementation options."/>
    <s v="Final"/>
    <s v="IEEE Journals"/>
    <s v="IoT applications on edge serverless platfrom"/>
    <s v="time (latency)"/>
    <x v="0"/>
    <x v="0"/>
    <x v="0"/>
    <x v="0"/>
    <x v="0"/>
    <x v="0"/>
    <s v="public serverless edge cloud platform"/>
    <s v="optimize and deploy the microservice-based software layout based on live performance measurements"/>
    <n v="1"/>
  </r>
  <r>
    <x v="2"/>
    <x v="5"/>
    <x v="6"/>
    <s v="Fast execution of functions is an inevitable challenge in the serverless computing landscape. Inefficient dispatching, fluctuations in invocation rates, burstiness of workloads, and wide range of execution times of serverless functions result in load imbalances and overloading of worker nodes of serverless platforms that impose high latency on invocations. This paper is concentrated on function scheduling within worker nodes of Apache OpenWhisk serverless platform and presents ETAS, a predictive scheduling scheme to reduce response times of invocations besides increasing workers throughputs and resource utilizations. ETAS schedules functions using their execution times, estimated by their previous execution’s history, arrival times, and containers’ status. We have implemented ETAS in Apache OpenWhisk and show that, compared to the OpenWhisk worker scheduler and several queue scheduling schemes, ETAS outperforms others by reducing the average waiting time by 30% and increasing the throughput by 40%. © 2021, The Author(s), under exclusive licence to Springer Science+Business Media, LLC, part of Springer Nature."/>
    <s v="Final"/>
    <s v="Scopus"/>
    <s v="function scheduling IN SERVERLESS COMPUTING"/>
    <n v="0"/>
    <x v="1"/>
    <x v="0"/>
    <x v="0"/>
    <x v="0"/>
    <x v="0"/>
    <x v="1"/>
    <s v="ETAS"/>
    <s v="Reduce response times of invocations besides increasing workers throughputs and resource utilizations"/>
    <n v="1"/>
  </r>
  <r>
    <x v="2"/>
    <x v="6"/>
    <x v="7"/>
    <s v="We consider the interplay between latency constrained applications and function-level resource management in a serverless edge computing environment. We develop a game theoretic model of the interaction between rate adaptive applications and a load balancing operator under a function-oriented pay-as-you-go pricing model. We show that under perfect information, the strategic interaction between the applications can be formulated as a generalized Nash equilibrium problem, and use variational inequality theory to prove that the game admits an equilibrium. For the case of imperfect information, we propose an online learning algorithm for applications to maximize their utility through rate adaptation and resource reservation. We show that the proposed algorithm can converge to equilibria and achieves zero regret asymptotically, and our simulation results show that the algorithm achieves good system performance at equilibrium, ensures fast convergence, and enables applications to meet their latency constraints."/>
    <s v="Publisher: IEEE Press"/>
    <s v="ACM"/>
    <s v="Serverless edge computing / game theory"/>
    <n v="0"/>
    <x v="0"/>
    <x v="0"/>
    <x v="0"/>
    <x v="0"/>
    <x v="0"/>
    <x v="0"/>
    <s v="online learning algorithm"/>
    <s v="maximize utility through rate adaptation and resource reservation"/>
    <n v="1"/>
  </r>
  <r>
    <x v="2"/>
    <x v="7"/>
    <x v="8"/>
    <s v="We characterize production workloads of serverless DAGs at a major cloud provider. Our analysis highlights two major factors that limit performance: (a) lack of efficient communication methods between the serverless functions in the DAG, and (b) stragglers when a DAG stage invokes a set of parallel functions that must complete before starting the next DAG stage. To address these limitations, we propose WiseFuse, an automated approach to generate an optimized execution plan for serverless DAGs for a user-specified latency objective (SLO) or cost budget. We introduce three optimizations: (1) Fusion combines in-series functions together in a single VM to reduce the communication overhead between cascaded functions. (2) Bundling executes a group of parallel invocations of a function in one VM to improve resource sharing among the parallel invocations to reduce skew. (3) Resource Allocation assigns the right size to each VM hosting a function or a group of functions to reduce the latency and cost of invoking the serverless DAG. We implement WiseFuse and evaluate it experimentally using three serverless applications, namely, Video Analytics, Approximate SVD, and ML Analytics, which span different DAG structures, memory footprints, and intermediate data sizes. In comparison to competing approaches, WiseFuse shows significant improvements in E2E latency and cost. Specifically, for the ML pipeline, WiseFuse achieves a P95 latency that is 67% lower than Photons [SoCC-20], 39% lower than Faastlane [USENIX ATC-21], and 90% lower than Sonic [USENIX ATC-21], without increasing the $ cost."/>
    <s v="Final"/>
    <s v="Web of Science"/>
    <s v="serverless DAG"/>
    <n v="0"/>
    <x v="0"/>
    <x v="0"/>
    <x v="0"/>
    <x v="1"/>
    <x v="1"/>
    <x v="0"/>
    <s v=" WiseFuse "/>
    <s v=" reduce the communication overhead between cascaded functions"/>
    <n v="1"/>
  </r>
  <r>
    <x v="2"/>
    <x v="8"/>
    <x v="9"/>
    <s v="Serverless computing is an emerging proposition in the cloud offering landscape that promotes a higher level of abstraction, further decoupling software operations from the underlying hardware. Often recognized as an economically driven computational approach, the serverless model relies on the execution of short-lived stateless functions, enabling a fine-grained accounting and control of resources. In this context, function composition represents an appealing feature, allowing the composition of two or more functions to create tailored processing pipelines, incentivizing modularity and reusability of functions, while paving the way to application-specific run-time optimizations. This work presents DIFFUSE: a DIstributed and decentralized platForm enabling Function composition in Serverless Environments. DIFFUSE embodies an innovative infrastructural support, enabling the efficient and transparent composition of functions by relying on pluggable middleware support, serving as a conveyor of messages among the platform components. Broadening the deployment spectrum of our proposal, we assess different middleware solutions, each presenting distinct delivery profiles, evidencing the tradeoffs that emerge. © 2022 Elsevier B.V."/>
    <s v="Final"/>
    <s v="Scopus"/>
    <s v="Function composition in Serverless Environments"/>
    <n v="0"/>
    <x v="0"/>
    <x v="0"/>
    <x v="0"/>
    <x v="0"/>
    <x v="0"/>
    <x v="0"/>
    <s v="DIFFUSE : Distributed and decentralized platForm enabling Function composition in Serverless Environments"/>
    <s v="Improve latency by assess different middleware solutions"/>
    <n v="1"/>
  </r>
  <r>
    <x v="2"/>
    <x v="9"/>
    <x v="10"/>
    <s v="Serverless computing has become increasingly popular recently due to its cost efficiency and flexibility. However, running serverless computing functions in the cloud can incur high end-to-end service latency and operational costs. Running them on edge servers may significantly reduce service latency but is limited by computing power and memory availability. Given the limitations of cloud and edge environments for performing serverless computing, this paper proposes a joint function warm-up and request routing scheme to perform serverless computing functions on edge and cloud collaboratively. The key idea of the new scheme is to maximize the hit ratio of serverless computing requests, thereby reducing the cold-start latency that dominates the overall serving latency. This scheme explicitly considers allocating server memory and operation budget for executing concurrent requests during the scheduling. The proposed scheme has been evaluated through extensive simulations. Its effectiveness has been proved by comparison with the upper-bound results."/>
    <s v="High-Confidence Computing"/>
    <s v="Science Direct"/>
    <s v="edge and cloud serverless computing"/>
    <s v="time (latency)/ cost"/>
    <x v="0"/>
    <x v="0"/>
    <x v="0"/>
    <x v="0"/>
    <x v="1"/>
    <x v="0"/>
    <s v=" joint function warm-up and request routing scheme"/>
    <s v="Reducing the cold-start latency"/>
    <n v="1"/>
  </r>
  <r>
    <x v="2"/>
    <x v="10"/>
    <x v="11"/>
    <s v="Serverless is a popular choice for cloud service architects because it can provide scalability and load-based billing with minimal developer effort. Functions-as-a-service (FaaS) are originally stateless, but emerging frameworks add stateful abstractions. For instance, the widely used Durable Functions (DF) allow developers to write advanced serverless applications, including reliable workflows and actors, in a programming language of choice. DF implicitly and continuosly persists the state and progress of applications, which greatly simplifies development, but can create an IOps bottleneck.To improve efficiency, we introduce Netherite, a novel architecture for executing serverless workflows on an elastic cluster. Netherite groups the numerous application objects into a smaller number of partitions, and pipelines the state persistence of each partition. This improves latency and throughput, as it enables workflow steps to group commit, even if causally dependent. Moreover, Netherite leverages FASTER's hybrid log approach to support larger-than-memory application state, and to enable efficient partition movement between compute hosts.Our evaluation shows that (a) Netherite achieves lower latency and higher throughput than the original DF engine, by more than an order of magnitude in some cases, and (b) that Netherite has lower latency than some commonly used alternatives, like AWS Step Functions or cloud storage triggers."/>
    <s v="Publisher: VLDB Endowment"/>
    <s v="ACM"/>
    <s v="Durable Functions (DF) for serverless application"/>
    <n v="0"/>
    <x v="0"/>
    <x v="0"/>
    <x v="0"/>
    <x v="0"/>
    <x v="0"/>
    <x v="1"/>
    <s v="Netherite"/>
    <s v="improves latency and throughput"/>
    <n v="1"/>
  </r>
  <r>
    <x v="3"/>
    <x v="11"/>
    <x v="12"/>
    <s v="Serverless computing is a popular cloud computing paradigm that frees developers from server management. Function-as-a-Service (FaaS) is the most popular implementation of serverless computing, representing applications as event-driven and stateless functions. However, existing studies report that functions of FaaS applications severely suffer from cold-start latency.In this article, we propose an approach, namely, FaaSLight, to accelerating the cold start for FaaS applications through application-level optimization. We first conduct a measurement study to investigate the possible root cause of the cold-start problem of FaaS. The result shows that application code loading latency is a significant overhead. Therefore, loading only indispensable code from FaaS applications can be an adequate solution. Based on this insight, we identify code related to application functionalities by constructing the function-level call graph and separate other code (i.e., optional code) from FaaS applications. The separated optional code can be loaded on demand to avoid the inaccurate identification of indispensable code causing application failure. In particular, a key principle guiding the design of FaaSLight is inherently general, i.e., platform- and language-agnostic. In practice, FaaSLight can be effectively applied to FaaS applications developed in different programming languages (Python and JavaScript), and can be seamlessly deployed on popular serverless platforms such as AWS Lambda and Google Cloud Functions, without having to modify the underlying OSes or hypervisors, nor introducing any additional manual engineering efforts to developers. The evaluation results on real-world FaaS applications show that FaaSLight can significantly reduce the code loading latency (up to 78.95%, 28.78% on average), thereby reducing the cold-start latency. As a result, the total response latency of functions can be decreased by up to 42.05% (19.21% on average). Compared with the state-of-the-art, FaaSLight achieves a 21.25× improvement in reducing the average total response latency."/>
    <s v="Place: New York, NY, USA Publisher: Association for Computing Machinery"/>
    <s v="ACM"/>
    <s v="Serverless computing"/>
    <n v="0"/>
    <x v="0"/>
    <x v="1"/>
    <x v="0"/>
    <x v="0"/>
    <x v="0"/>
    <x v="0"/>
    <s v=" FaaSLight"/>
    <s v="accelerating the cold start for FaaS applications through application-level optimization"/>
    <n v="1"/>
  </r>
  <r>
    <x v="3"/>
    <x v="12"/>
    <x v="13"/>
    <s v="Heart disease is one of the leading causes of death worldwide, and with early detection, mortality rates can be reduced. Well-known studies have shown that the latest artificial intelligence (AI) can be used to determine the risk of heart disease. However, existing studies did not consider dynamic scalability to get the best performance from these AI models in case of an increasing number of users. To solve this problem, we proposed an AI-powered smart healthcare framework called HealthFaaS, using the Internet of Things (IoT) and a Serverless Computing environment to reduce heart disease-related deaths and prevent financial losses by reducing misdiagnoses. HealthFaaS framework collects health data from users via IoT devices and sends it to AI models deployed on a Google Cloud Platform (GCP)-based serverless computing environment due to its advantages, such as dynamic scalability, less operational complexity, and a pay-as-you-go pricing model. The performance of five different AI models for heart disease risk detection is evaluated and compared based on key parameters, such as accuracy, precision, recall,  $F$ -Score, and AUC. Experimental results demonstrate that the light gradient boosting machine model gives the highest success in detecting heart diseases with an accuracy rate of 91.80%. Further, we have tested the performance of the HealthFaaS framework in terms of Quality-of-Service (QoS) parameters, such as throughput and latency against the increasing number of users and compared it with a non-serverless platform. In addition, we have also evaluated the cold start latency using a serverless platform which determined that the amount of memory and the software language makes a direct impact on the cold start latency."/>
    <s v="Final"/>
    <s v="IEEE Journals"/>
    <s v="AI/ HEALTHCARE / IoT"/>
    <n v="0"/>
    <x v="0"/>
    <x v="1"/>
    <x v="0"/>
    <x v="0"/>
    <x v="0"/>
    <x v="1"/>
    <s v="HealthFaaS"/>
    <s v="Improve throughput and latency, cold start latency"/>
    <n v="1"/>
  </r>
  <r>
    <x v="3"/>
    <x v="13"/>
    <x v="14"/>
    <s v="The emerging serverless computing has become a captivating paradigm for deploying cloud applications, alleviating developers’ concerns about infrastructure resource management by configuring necessary parameters such as latency and memory constraints. Existing resource configuration solutions for cloud-based serverless applications can be broadly classified into modeling based on historical data or a combination of sparse measurements and interpolation/modeling. In pursuit of service response and conserving network bandwidth, platforms have progressively expanded from the traditional cloud to the edge. Compared to cloud platforms, serverless edge platforms often lead to more running overhead due to their limited resources, resulting in undesirable financial costs for developers when using the existing solutions. Meanwhile, it is extremely challenging to handle the heterogeneity of edge platforms, characterized by distinct pricing owing to their varying resource preferences. To tackle these challenges, we propose an adaptive and efficient approach called FireFace, consisting of prediction and decision modules. The prediction module extracts the internal features of all functions within the serverless application and uses this information to predict the execution time of the functions under specific configuration schemes. Based on the prediction module, the decision module analyzes the environment information and uses the Adaptive Particle Swarm Optimization algorithm and Genetic Algorithm Operator (APSO-GA) algorithm to select the most suitable configuration plan for each function, including CPU, memory, and edge platforms. In this way, it is possible to effectively minimize the financial overhead while fulfilling the Service Level Objectives (SLOs). Extensive experimental results show that our prediction model obtains optimal results under all three metrics, and the prediction error rate for real-world serverless applications is in the range of 4.25∼9.51%. Our approach can find the optimal resource configuration scheme for each application, which saves 7.2∼44.8% on average compared to other classic algorithms. Moreover, FireFace exhibits rapid adaptability, efficiently adjusting resource allocation schemes in response to dynamic environments. © 2023 by the authors."/>
    <s v="Final"/>
    <s v="Scopus"/>
    <s v="serverless edge"/>
    <n v="0"/>
    <x v="1"/>
    <x v="0"/>
    <x v="0"/>
    <x v="0"/>
    <x v="0"/>
    <x v="0"/>
    <s v="(APSO-GA) Adaptive Particle Swarm Optimization algorithm and Genetic Algorithm Operator"/>
    <s v="select the most suitable configuration plan for each function, including CPU, memory, and edge platforms"/>
    <n v="1"/>
  </r>
  <r>
    <x v="3"/>
    <x v="14"/>
    <x v="15"/>
    <s v="Access transparency means that both local and remote resources are accessed using identical operations. With transparency, unmodified single-machine applications could run over disaggregated compute, storage, and memory resources. Hiding the complexity of distributed systems through transparency would have great benefits, like scaling-out local-parallel scientific applications over flexible disaggregated resources in the Cloud. This paper presents a performance evaluation where we assess the feasibility of access transparency over state-of-the-art Cloud disaggregated resources for Python multiprocessing applications. We have interfaced the multiprocessing module with an implementation that transparently runs processes on serverless functions and uses an in-memory data store for shared state. To evaluate transparency, we run in the Cloud four unmodified applications: Uber Research's Evolution Strategies, Baselines-AI's Proximal Policy Optimization, Pandaral.lel's dataframe, and Scikit Learn's Hyperparameter tuning. We compare execution time and scalability of the same application running over disaggregated resources using our library, with the single-machine Python multiprocessing libraries in a large VM. For equal resources, applications efficiently using message-passing abstractions achieve comparable results despite the significant overheads of remote communication. Other shared-memory intensive applications do not perform due to high remote memory latency. The results show that Python's multiprocessing library design is an enabler towards transparency: legacy applications using efficient disaggregated abstractions can transparently scale beyond VM limited resources for increased parallelism without changing the underlying code or architecture. © 2022 The Author(s)"/>
    <s v="Final"/>
    <s v="Scopus"/>
    <s v="AI/ (PPO) Proximal Policy Optimization"/>
    <n v="0"/>
    <x v="1"/>
    <x v="0"/>
    <x v="0"/>
    <x v="0"/>
    <x v="0"/>
    <x v="0"/>
    <s v="Baselines-AI's Proximal Policy Optimization"/>
    <s v="Improve of latency"/>
    <n v="1"/>
  </r>
  <r>
    <x v="3"/>
    <x v="15"/>
    <x v="16"/>
    <s v="A classic design of cloud-native databases adopts an architecture that consists of one read/write (RW) node and one or more read-only (RO) nodes. In such a design, the propagation of write-ahead logs (WALs) from the RW node to the RO node(s) is typically performed asynchronously. Consequently, system designers either have to accept a loose consistency guarantee, where a read from the RO node may return stale data, or tolerate significant performance degradation in terms of read latency, as it then needs to wait for the log to be propagated and applied. Most commercial cloud-native databases, such as Amazon Aurora, choose performance over strong consistency. As a result, it makes RO nodes useless for many applications requiring read-after-write consistency (a form of strong consistency), and the support for serverless databases (i.e., allowing the RO nodes to be scaled out automatically) is impossible as they require a single endpoint.This paper proposes PolarDB-SCC (PolarDB-Strongly Consistent Cluster), a cloud-native database architecture that guarantees strongly consistent reads with very low latency. The core idea is to eliminate unnecessary waits and reduce the necessary wait time on RO nodes while still supporting strong consistency. To achieve this, it tracks the RW node's modification timestamp at three progressively finer-grained levels. We further design a Linear Lamport timestamp to reduce the RO node's timestamp fetching operations and leverage the RDMA network for all the data transferring (e.g., timestamp fetching and log shipment) to minimize network overhead and extra CPU usage. Our evaluation shows that PolarDB-SCC does not incur any noticeable overhead for ensuring strongly consistent reads compared with the eventually consistent (stale) read policy. To the best of our knowledge, PolarDB-SCC is the first &quot;read-write splitting&quot; cloud-native database that supports strongly consistent read with negligible overhead. Compared with a straightforward read-wait design, PolarDB-SCC improves throughput by up to 4.51× and reduces median latency by up to 3.66× in SysBench's read-write workload. PolarDB-SCC is already commercially available at Alibaba Cloud."/>
    <s v="Publisher: VLDB Endowment"/>
    <s v="ACM"/>
    <s v="serverless database"/>
    <n v="0"/>
    <x v="0"/>
    <x v="0"/>
    <x v="0"/>
    <x v="0"/>
    <x v="0"/>
    <x v="1"/>
    <s v=" PolarDB-SCC (PolarDB-Strongly Consistent Cluster)"/>
    <s v="minimize network overhead and extra CPU usage"/>
    <n v="1"/>
  </r>
  <r>
    <x v="3"/>
    <x v="16"/>
    <x v="17"/>
    <s v="Serverless computing is a leading force behind deploying and managing software in cloud computing. One inherent challenge in serverless computing is the increased overall latency due to duplicate computations. Our initial investigation into the function invocations of serverless applications reveals an abundance of duplicate invocations. Inspired by this critical observation, we introduce HashCache, a system designed to cache duplicate function invocations, thereby mitigating duplicate computations. In HashCache, serverless functions are classified into three categories, namely, computational functions, stateful functions, and environment-related functions. On the grounds of such a function classification, HashCache associates the stateful functions and their states to build an adaptive synchronization mechanism. With this support, HashCache exploits the cached results of computational and stateful functions to serve upcoming invocation requests to the same functions, thereby reducing duplicate computations. Moreover, HashCache stores remote files probed by stateful functions into a local cache layer, which further curtails invocation latency. We implement HashCache within the Apache OpenWhisk to forge a cache-enabled serverless computing platform. We conduct extensive experiments to quantitatively evaluate the performance of HashCache in terms of invocation latency and resource utilization. We compare HashCache against two state-of-the-art approaches - FaaSCache and OpenWhisk. The experimental results unveil that our HashCache remarkably reduces invocation latency and resource overhead. More specifically, HashCache curbs the 99-tail latency of FaaSCache and OpenWhisk by up to 91.37% and 95.96% in real-world serverless applications. HashCache also slashes the resource utilization of FaaSCache and OpenWhisk by up to 31.62% and 35.51%, respectively."/>
    <s v="Final"/>
    <s v="IEEE Journals"/>
    <s v="Serverless computing"/>
    <n v="0"/>
    <x v="0"/>
    <x v="0"/>
    <x v="0"/>
    <x v="0"/>
    <x v="0"/>
    <x v="0"/>
    <s v="HashCache"/>
    <s v="reduces invocation latency and resource overhead"/>
    <n v="1"/>
  </r>
  <r>
    <x v="3"/>
    <x v="17"/>
    <x v="18"/>
    <s v="Serverless computing offers a promising deployment model for edge IoT applications. However, serverless functions that rely on large libraries suffer from severe library loading latency when containerized, which is unfriendly to edge latency-sensitive applications. Most function offload strategies in edge environments ignore the impact of this latency. We also found that the measures taken by serverless platforms to reduce loading latency may not work in edge environments. To remedy that, this paper proposes a function offloading strategy to minimize loading latency, a new way to deeply integrate placement optimization with cache optimization. In this way, we first design a package caching policy suitable for edge environments based on the consistency of execution topology. Then a Double Layers Dynamic Programming algorithm (DLDP) is proposed to solve the problem of function offloading considering the dependent packages using a multi-stage progressive optimization approach. The caching policy is embedded in the scheduling algorithm through a phased optimization approach to achieve joint optimization. Extensive experiments on the cluster trace from Alibaba show that DLDP reduces the loading latency of packages by more than 97.84% and significantly outperforms four baselines in the application completion time by more than 55.67%. © 2023 Elsevier B.V."/>
    <s v="Final"/>
    <s v="Scopus"/>
    <s v="Edge IoT"/>
    <n v="0"/>
    <x v="0"/>
    <x v="0"/>
    <x v="0"/>
    <x v="0"/>
    <x v="0"/>
    <x v="0"/>
    <s v="Function offloading strategy"/>
    <s v="Minimize loading latency"/>
    <n v="1"/>
  </r>
  <r>
    <x v="3"/>
    <x v="18"/>
    <x v="19"/>
    <s v="It is difficult for resource-constrained edge servers to simultaneously meet the performance requirements of all the latency-sensitive Internet of Things (IoT) applications in edge computing. Therefore, it is a significant challenge to efficiently generate a task offloading strategy. Recently, deep reinforcement learning (DRL)-based task offloading methods have been studied to ensure long-term performance optimization. However, there are challenges in existing DRL-based task offloading methods, such as insufficient sample diversity and high exploration cost. To optimize the performance of edge computing and facilitate the development and deployment of event-driven IoT applications, the serverless edge computing model has emerged. It combines serverless computing, also known as Function as a Service (FaaS), with edge computing and has been adopted in edge AI inference and prediction, stream processing, face recognition, etc. In this paper, an experience-sharing deep reinforcement learning-based distributed function offloading method called ES-DRL is proposed in the setting of a combined stateful and stateless execution model for serverless edge computing. ES-DRL adopts a distributed learning architecture, where each edge FaaS (EFaaS) obtains the current state of the local environment and inputs them to the local DRL agent, which outputs the function offloading strategy. Then, each EFaaS uploads the experience data interacting with the environment to a global shared replay buffer located in the cloud and randomly draws a batch of data from it to optimize the parameters of the local network. A population-guided policy search method is introduced to speed up the convergence of the DRL agent and avoid falling into the local optimum. The experimental results demonstrate that ES-DRL can reduce the average latency by up to approximately 17 percent compared to the existing DRL-based task offloading method. © 2022 Elsevier B.V."/>
    <s v="Final"/>
    <s v="Scopus"/>
    <s v="DRL - AI / IoT /(EFaaS) edge serverless"/>
    <n v="0"/>
    <x v="0"/>
    <x v="0"/>
    <x v="0"/>
    <x v="0"/>
    <x v="0"/>
    <x v="0"/>
    <s v="ES-DRL"/>
    <s v="reduce the average latency"/>
    <n v="1"/>
  </r>
  <r>
    <x v="4"/>
    <x v="19"/>
    <x v="20"/>
    <s v="Today, Function-as-a-Service (FaaS), as an emerging path to implementing serverless computing paradigm, seems quite promising in responding to the growing increase in requests for microservices. However, the serverless computing model also brings new challenges. Although the execution time of the functions is very short in FaaS, the initialization of containers and cold start is time-consuming and leads to a decrease in system performance. Cold start latency reduces the attractiveness of FaaS with the cost it imposes on the system. This is the most serious challenge in the majority of serverless computing platforms. Despite the importance of the subject, to the best of our knowledge, there is no comprehensive systematic review of cold start latency mitigation mechanisms in serverless computing platforms. This study aims to provide a systematic literature review on cold start latency mitigation mechanisms in serverless computing environment. In our proposed taxonomy, the mechanisms are classified into four categories: application-based, checkpoint-based, invocation time prediction-based, and cache-based; then, every category is introduced and reviewed. Finally, we propose open issues and conclude."/>
    <s v="Journal of Systems Architecture"/>
    <s v="Science Direct"/>
    <s v="Taxonomy"/>
    <n v="0"/>
    <x v="1"/>
    <x v="1"/>
    <x v="0"/>
    <x v="0"/>
    <x v="0"/>
    <x v="0"/>
    <s v="non"/>
    <m/>
    <n v="1"/>
  </r>
  <r>
    <x v="4"/>
    <x v="20"/>
    <x v="21"/>
    <s v="In recent years, serverless computing has gained considerable attention in academic, professional, and business circles. Unique features such as code development flexibility and the cost-efficient pay-as-you-go pricing model have led to predictions of widespread adoption of serverless services. Major players in the cloud computing sector, including industry giants like Amazon, Google, and Microsoft, have made significant advancements in the field of serverless services. However, cloud computing faces complex challenges, with two prominent ones being the latency caused by cold start instances and security vulnerabilities associated with container escapes. These challenges undermine the smooth execution of isolated functions, a concern amplified by technologies like Google gVisor and Kata Containers. While the integration of tools like lightweight virtual machines has alleviated concerns about container escape vulnerabilities, the primary issue remains the increased delay experienced during cold start instances in the execution of serverless functions. The purpose of this research is to propose an architecture that reduces cold start delay overhead by utilizing lightweight virtual machines within a commercial architecture, thereby achieving a setup that closely resembles real-world scenarios. This research employs supervised learning methodologies to predict function invocations by leveraging the execution patterns of other program functions. The goal is to proactively mitigate cold start scenarios by invoking the target function before actual user initiation, effectively transitioning from cold starts to warm starts. In this study, we compared our approach with two fixed and variable window strategies. Commercial platforms like Knative, OpenFaaS, and OpenWhisk typically employ a fixed 15-minute window during cold starts. In contrast to these platforms, our approach demonstrated a significant reduction in cold start incidents. Specifically, when calling a function 200 times with 5, 10, and 20 invocations within one hour, our approach achieved reductions in cold starts by 83.33%, 92.13%, and 90.90%, respectively. Compared to the variable window approach, which adjusts the window based on cold start values, our proposed approach was able to prevent 82.92%, 91.66%, and 90.56% of cold starts for the same scenario. These results highlight the effectiveness of our approach in significantly reducing cold starts, thereby enhancing the performance and responsiveness of serverless functions. Our method outperformed both fixed and variable window strategies, making it a valuable contribution to the field of serverless computing. Additionally, the implementation of pre-invocation strategies to convert cold starts into warm starts results in a substantial reduction in the execution time of functions within lightweight virtual machines. © 2024 Elsevier Ltd"/>
    <s v="Final"/>
    <s v="Scopus"/>
    <s v="Serverless computing"/>
    <n v="0"/>
    <x v="1"/>
    <x v="1"/>
    <x v="0"/>
    <x v="0"/>
    <x v="0"/>
    <x v="0"/>
    <s v="not mentioned "/>
    <s v="reducing cold starts, thereby enhancing the performance"/>
    <n v="1"/>
  </r>
  <r>
    <x v="4"/>
    <x v="21"/>
    <x v="22"/>
    <s v="In recent years, serverless computing has emerged as a new cloud service model that provides an elegant computing framework for application development. It allows developers to focus solely on application logic without having to worry about the underlying infrastructure or execution environment. One of the most attractive features of serverless computing is scale-to-zero, where function instances are immediately released as soon as they complete their execution. This makes the computing model more cost-effective. However, when a new function request arrives, a container must be prepared from scratch, including initialization, configuration, and loading of required libraries and packages. This requires additional startup time, also known as cold-start delay, which can degrade the performance of the computing framework. This paper proposes an integrated model, called adaptive container provisioning model (ACPM), to reduce cold-start latency through runtime provisioning of containers. ACPM promises to reduce the frequency of cold-starts and delay due to cold-start, improving the overall performance of serverless execution. It consists of two phases. In the first phase, an efficient deep learning model, such as long short term memory (LSTM), is used to predict the required number of pre-warmed containers in advance, which can be served as soon as the function request arrives. This phase is integrated with a container placement module for faster delivery of a container to minimize the frequency of cold-start delay. The second phase is based on a sandboxing mechanism where groups of similar functions can be placed in a single container instead of creating a separate container for each incoming request. ACPM drastically reduces cold-start delay and improves overall performance. The effectiveness of ACPM has been extensively compared with standard approaches such as container-sharing, container-reuse, pre-warming, restore-based, etc. From the experiment, it can be observed that ACPM outperforms other existing models in reducing cold-start latency. © The Author(s), under exclusive licence to Springer Science+Business Media, LLC, part of Springer Nature 2023."/>
    <s v="Final"/>
    <s v="Scopus"/>
    <s v="serverless computing functions"/>
    <n v="0"/>
    <x v="0"/>
    <x v="1"/>
    <x v="0"/>
    <x v="0"/>
    <x v="0"/>
    <x v="0"/>
    <s v="(ACPM) adaptive container provisioning model"/>
    <s v="minimize the frequency of cold-start delay"/>
    <n v="1"/>
  </r>
  <r>
    <x v="4"/>
    <x v="22"/>
    <x v="23"/>
    <s v="Serverless edge computing adopts an event-based paradigm that provides back-end services on an as-used basis, resulting in efficient resource utilization. To improve the end-toend latency and revenue, service providers need to  ptimize the number and placement of serverless containers while considering the system cost incurred by the  rovisioning. The particular reason for this circumstance is that frequently creating and destroying containers not only  ncreases the system cost but also degrades the time responsiveness due to the cold-start process. Function caching is a common approach to mitigate the coldstart issue. However, function caching requires extra hardware resources and hence incurs extra system costs.  urthermore, the dynamic and bursty nature of serverless invocations remains an under-explored area. Hence, it is vitally  mportant for service providers to conduct a context-aware request istribution and container caching policy for  erverless edge computing. In this paper, we study the request distribution and container caching problem in serverless edge computing. We prove the proposed problem is NP-hard and hence difficult to find a global optimal solution. We  ointly consider the distributed and resourceconstrained nature of edge computing and propose an optimized request  istribution algorithm that adapts to the dynamics of serverless  nvocations with a theoretical performance guarantee. Also, we propose a context-aware probabilistic caching policy that incorporates a number of characteristics of  erverless invocations. Via simulation and implementation results, we demonstrate the superiority of the proposed  lgorithm by outperforming existing caching policies in terms of the overall system cost and cold-start frequency by up to  2.1% and 69.1%, respectively."/>
    <s v="IEEE Transactions on Services Computing"/>
    <s v="IEEEXplore"/>
    <s v="edge computing"/>
    <n v="0"/>
    <x v="0"/>
    <x v="1"/>
    <x v="0"/>
    <x v="0"/>
    <x v="1"/>
    <x v="0"/>
    <s v="NP-hard "/>
    <s v="improve overall system cost and cold-start"/>
    <n v="1"/>
  </r>
  <r>
    <x v="4"/>
    <x v="23"/>
    <x v="24"/>
    <s v="Serverless computing is a novel cloud computing paradigm enabling flexible, cost-efficient and fine-granular development of cloud-native applications, although without any guarantees on scheduling or execution times. Thus, various high-level solutions have been proposed in recent years to find proper configurations of individual FaaS functions, while considering user-given QoS requirements. However, the ever-increasing complexity of invocation patterns among stateless functions, externalized management of intermediate states, and diverse public cloud resources pose new challenges to the composition of highly data-intensive serverless applications. In this paper, we fill this gap by proposing novel algorithms based on the emerging function fusion technique, along with the related cost/performance models of composite functions supporting implicit instance parallelization and internal state propagation. We prove the NP-completeness of the underlying latency-constrained tree partitioning problem, and design a bicriteria approximation scheme and a greedy heuristic to derive cost-efficient deployment configurations in polynomial time. With the help of extensive simulations using synthetic call graphs generated from public cloud traces, we demonstrate the applicability and superior runtime performance of our proposed methods compared to state-of-the-art solutions. In addition, we showcase that further cost-reduction of up to 3–6 % can be achieved compared to the optimal partitioning with the allowance of tolerable latency violations. © 2023 The Author(s)"/>
    <s v="Final"/>
    <s v="Scopus"/>
    <s v="Serverless application"/>
    <n v="0"/>
    <x v="1"/>
    <x v="0"/>
    <x v="0"/>
    <x v="0"/>
    <x v="0"/>
    <x v="0"/>
    <s v="not mentioned "/>
    <s v="improve cost-reduction and superior runtime performance"/>
    <n v="1"/>
  </r>
  <r>
    <x v="4"/>
    <x v="24"/>
    <x v="25"/>
    <s v="Function as a Service (FaaS) is highly beneficial to smart city infrastructure due to its flexibility, efficiency, and adaptability, specifically for integration in the digital landscape. FaaS has serverless setup, which means that an organization no longer has to worry about specific infrastructure management tasks; the developers can focus on how to deploy and create code efficiently. Since FaaS aligns well with the IoT, it easily integrates with IoT devices, thereby making it possible to perform event-based actions and real-time computations. In our research, we offer an exclusive likelihood-based model of adaptive machine learning for identifying the right place of function. We employ the XGBoost regressor to estimate the execution time for each function and utilize the decision tree regressor to predict network latency. By encompassing factors like network delay, arrival computation, and emphasis on resources, the machine learning model eases the selection process of a placement. In replication, we use Docker containers, focusing on serverless node type, serverless node variety, function location, deadlines, and edge-cloud topology. Thus, the primary objectives are to address deadlines and enhance the use of any resource, and from this, we can see that effective utilization of resources leads to enhanced deadline compliance. © 2024 by the authors."/>
    <s v="Final"/>
    <s v="Scopus"/>
    <s v="ML / IoT"/>
    <n v="0"/>
    <x v="1"/>
    <x v="0"/>
    <x v="0"/>
    <x v="0"/>
    <x v="0"/>
    <x v="0"/>
    <s v="XGBoost"/>
    <s v="predict network latency to enhanced deadline compliance"/>
    <n v="1"/>
  </r>
  <r>
    <x v="4"/>
    <x v="25"/>
    <x v="26"/>
    <s v="Applications that are constrained by low-latency requirements can hardly be executed on cloud infrastructures, given the high network delay required to reach remote servers. Multi-access Edge Computing (MEC) is the reference architecture for executing applications on nodes that are located close to users (i.e., at the edge of the network). This way, the network overhead is reduced but new challenges emerge. The resources available on edge nodes are limited, workloads fluctuate since users can rapidly change location, and complex tasks are becoming widespread (e.g., machine learning inference). To address these issues, this article presents NEPTUNE, a serverless-based framework that automates the management of large-scale MEC infrastructures. In particular, NEPTUNE provides (i) the placement of serverless functions on MEC nodes according to users’ location, (ii) the resolution of resource contention scenarios by avoiding that single nodes be saturated, and (iii) the dynamic allocation of CPUs and GPUs to meet foreseen execution times. To assess NEPTUNE, we built a prototype based on K3S, an edge-dedicated version of Kubernetes, and executed a comprehensive set of experiments. Results show that NEPTUNE obtains a significant reduction in terms of response time, network overhead, and resource consumption compared with five state-of-the-art solutions."/>
    <s v="Place: New York, NY, USA Publisher: Association for Computing Machinery"/>
    <s v="ACM"/>
    <s v="ML"/>
    <n v="0"/>
    <x v="1"/>
    <x v="0"/>
    <x v="0"/>
    <x v="1"/>
    <x v="0"/>
    <x v="0"/>
    <s v="NEPTUNE"/>
    <s v="a significant reduction in terms of response time, network overhead, and resource consumption"/>
    <n v="1"/>
  </r>
  <r>
    <x v="4"/>
    <x v="26"/>
    <x v="27"/>
    <s v="Due to the rapid growth in the adoption of numerous technologies, such as smartphones and the Internet of Things (IoT), edge and serverless computing have started gaining momentum in today's computing infrastructure. It has led to the production of huge amounts of data and has also resulted in increased network traffic, which if not managed well can cause network congestion. To address this and maintain the quality of service (QoS), in this work, a novel dispatch (destination selection) algorithm called Egalitarian Stable Matching Algorithm (ESMA) for faster data processing has been developed while also considering the best use of server resources in a decentralized Serverless-Edge environment. This will allow us to effectively utilize the enormous volumes of data that are generated. The proposed algorithm has been able to achieve lower overall dissatisfaction scores for the entire system. Individually, the client's happiness as well as the server's happiness have improved over the baseline. Moreover, there has been a drop of 25.7% in the total execution time and the total network resources consumed are lower as compared to the baseline algorithm as well as random-allocation algorithm."/>
    <s v="Journal of Parallel and Distributed Computing"/>
    <s v="Science Direct"/>
    <s v="IoT/ edge computing"/>
    <n v="0"/>
    <x v="1"/>
    <x v="0"/>
    <x v="0"/>
    <x v="1"/>
    <x v="1"/>
    <x v="0"/>
    <s v="(ESMA) Egalitarian Stable Matching Algorithm "/>
    <s v=" client's happiness as well as the server's happiness have improved over the baseline/ reduce execution time and the total network resources consumed "/>
    <n v="1"/>
  </r>
  <r>
    <x v="4"/>
    <x v="27"/>
    <x v="28"/>
    <s v="Recent advancements in Internet of Things (IoT) technology have driven massive amounts of raw data. Due to the hardware limitations of the constraint IoT environments, we cannot fully perform all data analytical tasks in the local environment. In contrast, data transferring, storing, and processing in the cloud suffer from cloud cost, latency and security issues. In this context, we require a multi-layer data processing environment to balance all these issues. Data pipeline concepts allow data processing between source and destination on multiple fog devices. On the other hand, IoT applications are event-driven. So, building these apps in a serverless computing manner minimizes operational and billing costs. Moreover, this provides flexibility to deploy tasks anywhere, irrespective of the underlying operating system. In this paper, we investigated two serverless data pipeline approaches designed with Message Queuing Telemetry Transport (MQTT) and Apache NiFi. Our proposed approaches were tested with the image streaming data, where we performed object detection in the images. Our experimental results compared these two approaches regarding pipeline execution time, memory and CPU usage. The results conclude that the Apache NiFi-based serverless data pipeline consumes more CPU than MQTT-based serverless data pipeline, however outperforms it in terms of execution time and memory utilization. © 2023 Elsevier B.V."/>
    <s v="Final"/>
    <s v="Scopus"/>
    <s v="IoT /serverless computing"/>
    <n v="0"/>
    <x v="1"/>
    <x v="0"/>
    <x v="0"/>
    <x v="1"/>
    <x v="1"/>
    <x v="0"/>
    <s v="(MQTT) Message Queuing Telemetry Transport"/>
    <s v="improve execution time in pipeline memory and CPU usage"/>
    <n v="1"/>
  </r>
  <r>
    <x v="4"/>
    <x v="28"/>
    <x v="29"/>
    <s v="Serverless computing platforms currently provide application developers with two ways to control their services’ resource usage cost: resource usage-based and resource quota-based. In usage-based systems, resources are assigned to services based on the amount they consume. Meanwhile, a fixed resource amount is reserved and shared between services for quota-based systems. Several studies have been proposed to enhancing the default serverless auto- scaling algorithms to optimize resource usage and service quality. However, almost all previous works targeted usage-based systems and optimized auto-scaling performance for each separate service. In contrast, this work targets auto-scaling of concurrent services in serverless quota-based systems. In serverless quota-based systems, over-quota resource usage and latency Service Level Objective (SLO) violation may occur when auto-scaling new instances during burst traffic moments. Hence, we aim to find an optimal hybrid auto-scaling decision to minimize over-quota resource usage and latency SLO violation. To solve this problem, We applied deep reinforcement learning and traffic prediction techniques. Our solution is developed and implemented based on the characteristics of the most popular open-source serverless platform Knative. For evaluation, we compared our solution with the default Knative auto-scaler and our previously proposed usage-based hybrid Knative auto-scaler. We configured the default Knative auto-scaler with two different settings that can optimize the total resource usage of all services or minimize service latency. Compared to the optimized resource usage version, our solution traded a slightly higher resource usage for an 11.3% latency SLO violation duration reduction. Meanwhile, compared with the optimized latency version, our solution reduced the over-quota resource usage rate by 18.25% while achieving a similar latency SLO preservation performance. Compared to the usage-based hybrid auto-scaler, the latency SLO violation rate and over-quota resource usage were approximately reduced by half. © 2024"/>
    <s v="Final"/>
    <s v="Scopus"/>
    <s v="serverless quota-based systems/ DRL"/>
    <n v="0"/>
    <x v="0"/>
    <x v="0"/>
    <x v="0"/>
    <x v="0"/>
    <x v="1"/>
    <x v="0"/>
    <s v="DRL hybrid auto-scaling solution"/>
    <s v="find an optimal hybrid autoscaling policy that can minimize both the service latency SLO violation"/>
    <n v="1"/>
  </r>
  <r>
    <x v="4"/>
    <x v="29"/>
    <x v="30"/>
    <s v="Serverless computing is a new concept as cloud computing, which dynamically manages the networks and is applied in Serverless Wireless Sensor Networks (SWSN) to help the networks. These networks are becoming famous for monitoring various physical and environmental factors. Serverless computing also facilitates the networks by offering an extensive range of applications. Different applications have been designed for monitoring purposes where the sensor nodes sense the data and transmit it to the base station through single or multi-hop routing. However, existing routing protocols cannot manage the sensor nodes’ energy issues because of the complex routing processes and depleted their power before their time. Because of these limitations, the nodes close to BS continuously rely on the network for data forwarding. As a result, these nodes cause energy consumption and lead to a useless state. This paper proposes a serverless architecture and designs an Enhanced Centroid-based Energy Efficient Clustering (ECEEC) protocol for SWSN networks. The proposed serverless architecture provides automated scalability, cost-effective services, and stateless execution. In addition, the proposed protocol offers the cluster head selection and its rotation to maximize the energy efficiency in the network. Furthermore, gateway nodes are chosen in every cluster to overcome the load on the cluster head. Simulation results indicated the excellent performance of the proposed protocol as compared to the existing routing protocols concerning network lifetime and energy consumption. The proposed protocol shows better reliability with nodes failing at 650 rounds compared to 600 rounds, especially with 5 % and 10 % Cluster Heads. The proposed protocol exhibits superior energy efficiency consumption of SNs under varying CH percentages, indicating the protocol's consistent performance across different scenarios. © 2024 The Author(s)"/>
    <s v="Final"/>
    <s v="Scopus"/>
    <s v="Serverless computing"/>
    <n v="0"/>
    <x v="0"/>
    <x v="0"/>
    <x v="0"/>
    <x v="1"/>
    <x v="1"/>
    <x v="1"/>
    <s v="(ECEEC) Enhanced Centroid-based Energy Efficient Clustering "/>
    <s v="better reliability, superior energy efficiency consumption of SNs under varying CH percentages"/>
    <n v="1"/>
  </r>
  <r>
    <x v="4"/>
    <x v="30"/>
    <x v="31"/>
    <s v="Serverless computing services are offered by major cloud service providers such as Google Cloud Platform, Amazon Web Services, and Microsoft Azure. The primary purpose of the services is to offer efficiency and scalability in modern software development and IT operations while reducing overall costs and operational complexity. However, prospective customers often question which serverless service will best meet their organizational and business needs. This study analyzed the features, usability, and performance of three serverless cloud computing platforms: Google Cloud’s Cloud Run, Amazon Web Service’s App Runner, and Microsoft Azure’s Container Apps. The analysis was conducted with a containerized mobile application designed to track real-time bus locations for San Antonio public buses on specific routes and provide estimated arrival times for selected bus stops. The study evaluated various system-related features, including service configuration, pricing, and memory and CPU capacity, along with performance metrics such as container latency, distance matrix API response time, and CPU utilization for each service. The results of the analysis revealed that Google’s Cloud Run demonstrated better performance and usability than AWS’s App Runner and Microsoft Azure’s Container Apps. Cloud Run exhibited lower latency and faster response time for distance matrix queries. These findings provide valuable insights for selecting an appropriate serverless cloud service for similar containerized web applications. © 2024 by the authors."/>
    <s v="Final"/>
    <s v="Scopus"/>
    <s v="Serverless computing"/>
    <n v="0"/>
    <x v="0"/>
    <x v="0"/>
    <x v="0"/>
    <x v="0"/>
    <x v="1"/>
    <x v="0"/>
    <s v="Analysis study / comparison Google cloud and AWS"/>
    <s v="lower latency and faster response time for distance matrix queries."/>
    <n v="1"/>
  </r>
  <r>
    <x v="4"/>
    <x v="31"/>
    <x v="32"/>
    <s v="Bull Trench Kiln-based Brick industries are major contributors of Particulate Matter Pollutants (PM2.5 and PM10), which leads to deterioration of air quality, and hence needs to be monitored. As the static air monitoring stations require huge infrastructure and are sparsely located, it is necessary to find alternate ways using recent technologies like IoT, Machine Learning, and Serverless Computing. IoT devices being low cost and portable could be deployed near brick industries, however, they are sensitive to fluctuating ambient air temperature or humidity and hence have to be calibrated and there is a need for powerful back-end infrastructures for storage and analyses of data. The existing approach of transmitting IoT-based data to the cloud is time-consuming, energy inefficient, prone to scaling problems, has poor resource utilization, and is expensive. In this study, the IoT data are calibrated using ML Classifier algorithms and an Automatic Function Triggerer - Function-as-a-Service (AFT-FaaS) method is proposed, which is based on event-driven, Serverless method using AWS Lambda along with the Three-Tier Serverless architecture (Edge Tier, Fog Tire, and Cloud Tier) to deal with the challenges of delay, under-resource allocation, and to reduce the expenditures. The data transmitted to the cloud using the proposed AFT-FaaS method are indexed in ElasticSearch and Kibana is used for the analysis and visualization of data. While performing calibration, Random Forest Classifier was chosen as it had accuracy of above 98%. Finally, an in-depth pricing analysis is performed to better understand the difference between different configurations deployed for Serverless and non-Serverless Computing methods, which shows there is a significant reduction (7 times) of expenses incurred while using Serverless Computing than the non-Serverless Computing methods. © 2023 Elsevier Ltd"/>
    <s v="Final"/>
    <s v="Scopus"/>
    <s v="ML /IoT/Edge/fog"/>
    <n v="0"/>
    <x v="0"/>
    <x v="0"/>
    <x v="0"/>
    <x v="1"/>
    <x v="1"/>
    <x v="0"/>
    <s v="(AFT-FaaS)  Automatic Function Triggerer - Function-as-a-Service"/>
    <s v="Improve delay, under-resource allocation, and to reduce the expenditures"/>
    <n v="1"/>
  </r>
  <r>
    <x v="4"/>
    <x v="32"/>
    <x v="33"/>
    <s v="Developing and deploying resource-aware artificial intelligence (AI) models presents a compelling optimization challenge in edge computing and serverless domains. Current research focuses mainly on scalable training and inference that uses serverless frameworks to optimize operational costs. However, these approaches often overlook the challenges of heterogeneous-aware training and overall cost optimization, including computing, memory, and communication. Our work introduces a framework for a heterogeneous edge environment, focusing on the model and key performance metrics like accuracy, floating-point operations per second, number of parameters, and latency. This framework enables distributed training within a serverless architecture. Further, it explores the construction of machine learning models from existing serverless functions using a lookup table while estimating AI model training in edge, cloud, or hybrid settings. We test the framework on object detection tasks in AI model development and deployment by using serverless operations."/>
    <s v="Final"/>
    <s v="Web of Science"/>
    <s v="ML /AI / edge computing"/>
    <n v="0"/>
    <x v="0"/>
    <x v="0"/>
    <x v="0"/>
    <x v="0"/>
    <x v="1"/>
    <x v="0"/>
    <s v=" a framework for a heterogeneous edge environment"/>
    <s v="enables distributed training within a serverless architecture"/>
    <n v="1"/>
  </r>
  <r>
    <x v="4"/>
    <x v="33"/>
    <x v="34"/>
    <s v="Edge/fog computing, as a distributed computing paradigm, satisfies the low-latency requirements of ever-increasing number of IoT applications and has become the mainstream computing paradigm behind IoT applications. However, because large number of IoT applications require execution on the edge/fog resources, the servers may be overloaded. Hence, it may disrupt the edge/fog servers and also negatively affect IoT applications’ response time. Moreover, many IoT applications are composed of dependent components incurring extra constraints for their execution. Besides, edge/fog computing environments and IoT applications are inherently dynamic and stochastic. Thus, efficient and adaptive scheduling of IoT applications in heterogeneous edge/fog computing environments is of paramount importance. However, limited computational resources on edge/fog servers imposes an extra burden for applying optimal but computationally demanding techniques. To overcome these challenges, we propose a Deep Reinforcement Learning-based IoT application Scheduling algorithm, called DRLIS to adaptively and efficiently optimize the response time of heterogeneous IoT applications and balance the load of the edge/fog servers. We implemented DRLIS as a practical scheduler in the FogBus2 function-as-a-service framework for creating an edge–fog–cloud integrated serverless computing environment. Results obtained from extensive experiments show that DRLIS significantly reduces the execution cost of IoT applications by up to 55%, 37%, and 50% in terms of load balancing, response time, and weighted cost, respectively, compared with metaheuristic algorithms and other reinforcement learning techniques. © 2023 The Author(s)"/>
    <s v="Final"/>
    <s v="Scopus"/>
    <s v="DRL / IoT/Edge/fog computing"/>
    <n v="0"/>
    <x v="0"/>
    <x v="0"/>
    <x v="0"/>
    <x v="1"/>
    <x v="1"/>
    <x v="0"/>
    <s v="DRLIS - Deep Reinforcement Learning-based IoT application Scheduling algorithm"/>
    <s v="reduces the execution cost of IoT applications in terms of load balancing, response time, and weighted cost"/>
    <n v="1"/>
  </r>
  <r>
    <x v="4"/>
    <x v="34"/>
    <x v="35"/>
    <s v="Modern cloud applications are composed of tens of thousands of environment-agnostic serverless functions that can be deployed in either a fog or cloud environment. The key to sustaining fog computing is to offload the maximum amounts of computation to the cloud, and accommodate as many users as possible without compromising quality of service (QoS). However, recent research mainly focuses on assigning maximum resources to serverless applications from the fog node and not taking full advantage of the cloud environment, leading to a lack of sustainability in fog computing. As a way to fill this research gap, we explored what percentage of a user's request should be handled by fog and cloud. As a result, we proposed Def-DReL, a Systematic Deployment of Serverless Functions in Fog and Cloud environments using Deep Reinforcement Learning, by taking into account several real-life parameters, including distance from a nearby fog node and latency, priority of the user, priority of serverless applications, and resource usage. Def-DReL's performance is further compared with that of recent related algorithms. Simulation and comparison results clearly demonstrate a lesser number of serverless functions from each user (with approximately 10% improvement) being deployed in the fog node, resulting in accommodating limited fog resources to more number of users. The other simulation results show its superiority over other algorithms as well as its applicability to real-life scenarios. © 2023 Elsevier B.V."/>
    <s v="Final"/>
    <s v="Scopus"/>
    <s v="DRL / fog"/>
    <n v="0"/>
    <x v="0"/>
    <x v="0"/>
    <x v="0"/>
    <x v="1"/>
    <x v="1"/>
    <x v="0"/>
    <s v="Def-DReL, a Systematic Deployment of Serverless Functions"/>
    <s v="A lesser number of serverless functions from each user being deployed in the fog node, resulting in accommodating limited fog resources to more number of users"/>
    <n v="1"/>
  </r>
  <r>
    <x v="4"/>
    <x v="35"/>
    <x v="36"/>
    <s v="Traditional container orchestration platforms often suffer from resource wastage in educational settings, and stateless serverless services face challenges in maintaining container state persistence during the teaching process. To address these issues, we propose a stateful serverless mechanism based on Containerd and Kubernetes, focusing on optimizing the startup process for container groups. We first implement a checkpoint/restore framework for container states, providing fundamental support for managing stateful containers. Building on this foundation, we propose the concept of “container groups” to address the challenges in educational practice scenarios characterized by a large number of similar containers on the same node. We then propose the Rofuse optimization mechanism, which employs delayed loading and block-level deduplication techniques. This enables containers within the same group to reuse locally cached file system data at the block level, thus reducing container restart latency. Experimental results demonstrate that our stateful serverless mechanism can run smoothly in typical educational practice scenarios, and Rofuse reduces the container restart time by approximately 50% compared to existing solutions. This research provides valuable exploration for serverless practices in the education domain, contributing new perspectives and methods to improve resource utilization efficiency and flexibility in teaching environments. © 2024 by the authors."/>
    <s v="Final"/>
    <s v="Scopus"/>
    <s v="container orchestration in serverless"/>
    <n v="0"/>
    <x v="0"/>
    <x v="0"/>
    <x v="0"/>
    <x v="0"/>
    <x v="0"/>
    <x v="0"/>
    <s v="Rofuse optimization mechanism"/>
    <s v="enables containers within the same group to reuse locally cached file system data at the block level, reducing container restart latency"/>
    <n v="1"/>
  </r>
  <r>
    <x v="5"/>
    <x v="36"/>
    <x v="37"/>
    <s v="Multimedia streaming has become integral to modern living, reshaping entertainment consumption, information access, and global engagement. The ascent of cloud computing, particularly serverless architectures, plays a pivotal role in this transformation, offering dynamic resource allocation, parallel execution, and automatic scaling-especially beneficial in HTTP Adaptive Streaming (HAS) applications. This study presents an event-driven serverless cloud edge platform with graphics processing units (GPUs), managed by Knative, tailored for video encoding. Two implementations of the High Efficiency Video Coding (HEVC) codec have been encapsulated in the functions: HEVC NVENC (Nvidia Encoder), that uses GPU acceleration, and x265 that only uses CPUs. Experiments focused on measuring the impact of replica requested resources on cold start, scalability and resource consumption with different allocated resources on slim and fat virtual machines (VMs). The best results are obtained when four slim replicas of the functions are deployed on a fat VM with a 8.4% reduction in encoding time for x265 and a 15.2% improvement for HEVC NVENC compared with other deployment scenarios. Comparatively, HEVC NVENC encoding is 8.3 times faster than x265. In multiresolution scenarios, GPU encoding drastically reduces segment encoding time by a factor of 12.4 between non-GPU and GPU-accelerated. These findings are important for live streaming applications where low latency is critical at all stages of the streaming process. © The Author(s) 2024."/>
    <s v="Final"/>
    <s v="Scopus"/>
    <s v="Multimedia/video codeing "/>
    <n v="0"/>
    <x v="0"/>
    <x v="1"/>
    <x v="0"/>
    <x v="0"/>
    <x v="0"/>
    <x v="0"/>
    <s v="(HEVC) High Efficiency Video Coding"/>
    <s v=" low latency "/>
    <n v="1"/>
  </r>
  <r>
    <x v="5"/>
    <x v="37"/>
    <x v="38"/>
    <s v="Serverless computing offers scalability and cost-efficiency, but balancing performance and cost remains challenging, particularly in scaling decisions that can lead to cold starts or resource misallocation. This research is motivated by the need to minimize the impact of cold starts and optimize resource utilization in serverless applications by developing intelligent, data-driven scaling decisions. We delve into using machine learning and feature engineering to model and simulate predictions for optimal scaling decisions for Azure Function Apps (AFA). Our focus lies in predicting the ideal timing for provisioning or de-provisioning the Function App's environment. Using historical invocation data, we applied a sliding window to transform the time-series data into patterns categorized as load or unload classes, considering various target periods. To identify the most effective model, we compared the performance of various baseline models with and without calibration (isotonic and sigmoid) to enhance precision. In addition, we assess multiple feature extraction methods in invocation patterns and explore the use of Principal Component Analysis (PCA) for dimensionality reduction to reduce computation costs. Using the best-identified configurations, we model and simulate the class patterns over time to compare the actual classes with the predicted ones, focusing on memory usage and the costs associated with cold starts. The proposed model is thoroughly evaluated using various metrics under different setups, revealing notable improvements in scaling decisions achieved by applying calibration and feature engineering methods. These findings demonstrate the potential of machine learning for intelligent, data-driven scaling decisions in serverless computing, offering valuable insights for cloud providers to optimize resource allocation and for developers to build more efficient and responsive serverless applications. Specifically, the proposed method can be integrated into serverless platforms to automatically adjust resource provisioning based on predicted workload demands, reducing cold start latency and improving cost-effectiveness. © 2025 The Authors"/>
    <s v="Final"/>
    <s v="Scopus"/>
    <s v="ML"/>
    <n v="0"/>
    <x v="0"/>
    <x v="1"/>
    <x v="0"/>
    <x v="1"/>
    <x v="1"/>
    <x v="0"/>
    <s v="not mentioned "/>
    <s v=" optimize resource allocation and for developers to build more efficient and responsive serverless applications"/>
    <n v="1"/>
  </r>
  <r>
    <x v="5"/>
    <x v="38"/>
    <x v="39"/>
    <s v="Edge computing brings computing resources closer to the Internet of Things (IoT) devices, significantly reducing transmission latency and bandwidth usage. However, the limited resources of edge servers require efficient management. Serverless computing meets this demand through its elastic resource provisioning, leading to the emergence of serverless edge computing—a promising computing paradigm. Despite its potential, real-time task dispatching and scheduling in the highly complex and dynamic environment of serverless edge computing present significant challenges. On the one hand, task execution requires not only sufficient CPU resources but also free containers; on the other hand, tasks are typically event-driven, with strong burstiness and high concurrency, and impose stringent demands on fast decision-making. To address these challenges, we propose a real-time task dispatching and scheduling method, aiming to maximize the satisfaction rate of Service Level Objectives (SLOs) for tasks. First, we design a task dispatching algorithm named Adaptive Deep Reinforcement Learning (ADRL). This algorithm can quickly decide the execution position of tasks based on coarse information and effectively adapt to the changes in available servers in dynamic environments. Second, we propose a task scheduling algorithm named Warm-aware Shortest Remaining Idle Time (WSRIT), which guides the edge servers to schedule the tasks in the request queue based on the tasks’ remaining idle time and the state of the warm containers. Considering the limited storage space of the edge servers, we further introduce a container replacement algorithm named Low Priority First (LPF) to ensure smooth container launches. Extensive simulation experiments are conducted based on Azure datasets. The results show that our methodcan improve the satisfaction rate of SLOs by 12.57∼41.87% and achieve the lowest cold start rate compared to existing methods. © 2025"/>
    <s v="Final"/>
    <s v="Scopus"/>
    <s v="DRL /IoT"/>
    <n v="0"/>
    <x v="0"/>
    <x v="1"/>
    <x v="0"/>
    <x v="0"/>
    <x v="0"/>
    <x v="0"/>
    <s v="(ADRL) Adaptive Deep Reinforcement Learning/(WSRIT) Warm-aware Shortest Remaining Idle Time"/>
    <s v="improve the satisfaction rate of SLOs and achieve the lowest cold start rate "/>
    <n v="1"/>
  </r>
  <r>
    <x v="5"/>
    <x v="39"/>
    <x v="40"/>
    <s v="Serverless computing, also known as Functions as a Service (FaaS), is an emerging cloud deployment paradigm that offers advantages such as pay-as-you-go pricing and automatic scaling. Functions often suffer from cold starts delays due to the overhead of initializing code and data dependencies before execution. Retaining containers in memory for a period after execution can reduce cold start latency. However, existing application-layer solutions overlook the effect of cold start overhead on the availability of containers, resulting in suboptimal balance between cold start latency and memory resource utilization. Furthermore, these strategies typically overlook the optimization of overall cold start overhead, which is essential for enhancing system efficiency. To address these challenges, we propose the Cache-Based Adaptive Scheduler for Serverless Runtime (CASR), an adaptive strategy for managing container runtime configurations. CASR effectively balances cold start latency and memory utilization while reducing overall cold start overhead. Specifically, we introduce a serverless cache (S-Cache) that leverages the equivalence between caching problems and container keep-alive strategies to mitigate cold starts. Additionally, we develop a deep reinforcement learning model, based on the proximal policy optimization algorithm, to enable the automatic scaling of the S-Cache queue, allowing adaptation to dynamic cloud workloads and enhancing memory resource utilization. Extensive simulations on an Azure dataset show that CASR reduces cold starts by 38.75%, improves memory resource utilization by 46.73%, and decreases cold start overhead by 48.53% compared to existing container keep-alive strategies in serverless platforms under common workloads. © 2025 Elsevier B.V."/>
    <s v="Final"/>
    <s v="Scopus"/>
    <s v="DRL"/>
    <n v="0"/>
    <x v="0"/>
    <x v="1"/>
    <x v="0"/>
    <x v="0"/>
    <x v="0"/>
    <x v="0"/>
    <s v="(CASR) Cache-Based Adaptive Scheduler for Serverless Runtime"/>
    <s v="balances cold start latency and memory utilization while reducing overall cold start overhead"/>
    <n v="1"/>
  </r>
  <r>
    <x v="5"/>
    <x v="40"/>
    <x v="41"/>
    <s v="Serverless computing has gained a strong traction in the cloud computing community in recent years. Among the many benefits of this novel computing model, the rapid auto-scaling capability of user applications takes prominence. However, the offer of adhoc scaling of user deployments at function level introduces many complications to serverless systems. The added delay and failures in function request executions caused by the time consumed for dynamically creating new resources to suit function workloads, known as the cold-start delay, is one such very prevalent shortcoming. Maintaining idle resource pools to alleviate this issue often results in wasted resources from the cloud provider perspective. Existing solutions to address this limitation mostly focus on predicting and understanding function load levels in order to proactively create required resources. Although these solutions improve function performance, the lack of understanding on the overall system characteristics in making these scaling decisions often leads to the sub-optimal usage of system resources. Further, the multi-tenant nature of serverless systems requires a scalable solution adaptable for multiple co-existing applications, a limitation seen in most current solutions. In this paper, we introduce a novel multi-agent Deep Reinforcement Learning based intelligent solution for both horizontal and vertical scaling of function resources, based on a comprehensive understanding on both function and system requirements. Our solution elevates function performance reducing cold starts, while also offering the flexibility for optimizing resource maintenance cost to the service providers. Experiments conducted considering varying workload scenarios show improvements of up to 23% and 34% in terms of application latency and request failures, or alternatively saving up to 45% in infrastructure cost for the service providers. © 2025"/>
    <s v="Final"/>
    <s v="Scopus"/>
    <s v="DRL"/>
    <n v="0"/>
    <x v="0"/>
    <x v="1"/>
    <x v="0"/>
    <x v="1"/>
    <x v="1"/>
    <x v="0"/>
    <s v="multi-agent Deep Reinforcement Learning"/>
    <s v="reducing cold starts, while also offering the flexibility for optimizing resource maintenance cost to the service providers"/>
    <n v="1"/>
  </r>
  <r>
    <x v="5"/>
    <x v="41"/>
    <x v="42"/>
    <s v="MapReduce is one of the most classic and powerful parallel computing models in the field of big data. It is still active in the big data system ecosystem and is currently evolving towards cloud-native environment. Among them, due to its elasticity and ease-to-use, Serverless computing is one of the most promising directions of cloud-native technology. To support MapReduce big data computing capabilities in a Serverless environment can give full play to Serverless's advantages. However, due to different underlying system architecture, three issues will be encountered when running MapReduce jobs in the Serverless environment. Firstly, the scheduling strategy is difficult to fully utilize the available resources. Secondly, reading Shuffle index data on cloud storage is inefficient and expensive. Thirdly, cloud storage Input/Output (I/O) request latency has a long tail effect. To solve these problems, this paper proposes three strategies with a MapReduce parallel processing framework in Serverless environment. Experimental results show that compared with cutting-edge systems, our approach shortens job execution time by 25.6% on average and reduces job execution costs by 17.3%. © 2018 Tsinghua University Press."/>
    <s v="Final"/>
    <s v="Scopus"/>
    <s v="big data"/>
    <n v="0"/>
    <x v="1"/>
    <x v="0"/>
    <x v="0"/>
    <x v="0"/>
    <x v="1"/>
    <x v="0"/>
    <s v="MapReduce  parallel processing framework"/>
    <s v=" shortens job execution time and reduces job execution costs "/>
    <n v="1"/>
  </r>
  <r>
    <x v="5"/>
    <x v="42"/>
    <x v="43"/>
    <s v="Web developers face two significant challenges when developing their applications and websites: latency and payload size. Given that web services rely on servers, the related communication incurs a cost in terms of latency. In contrast, the payload passed to the client incurs a communication cost, not to mention the computational cost to the client. The concept of serverless edge computing, built on top of content delivery networks (CDNs), is an approach that has begun to gain the attention of web developers for its promise of lower latencies due to its efficiencies in communication thanks to globally distributed networks and replication. Islands architecture is a technical approach that addresses payload size by giving developers easy ways to defer and potentially even avoid the cost of loading content. Combined, these two approaches form edge-powered islands and, in this article, we examine how the combination can help to address these two notable costs web developers have to consider in their daily work. Our findings indicate that edge-powered islands can provide a way to introduce interactivity to otherwise static websites while wrapping dynamic portions of a page within islands to gain the benefits of static approaches in more dynamic contexts, such as storefronts. In addition, islands can provide loading benefits even for more application-like websites, such as social networks, and give web developers an additional control layer in their development work."/>
    <s v="Final"/>
    <s v="River Publishers Journals"/>
    <s v="serverless edge computing"/>
    <n v="0"/>
    <x v="0"/>
    <x v="0"/>
    <x v="0"/>
    <x v="0"/>
    <x v="1"/>
    <x v="0"/>
    <s v="(CDNs) content delivery networks"/>
    <s v="not mentioned"/>
    <n v="1"/>
  </r>
  <r>
    <x v="5"/>
    <x v="43"/>
    <x v="44"/>
    <s v="With the continuous development in the field of machine learning, there is an increasing demand for the cloud-based machine learning inference services, which are latency-sensitive tasks, such as the service requests from the Internet of Things (IoT) devices. These inference services are generally accompanied by fluctuations and uncertainties, so they often require vastly varied numbers of servers at different time spots. As a result, how to dynamically and rationally schedule cloud servers for inference services has become an important issue. Alibaba Cloud currently provides its serverless instances called elastic container instance (ECI), and due to the advantages of pay-as-you-go billing and second-level elasticity, they are well-suited for handling bursty or fluctuating workloads. At the same time, Alibaba Cloudâ€™s subscription-based elastic compute service (ECS) instances can be used for steady-state workloads. Our objective is to dynamically combine these two types of instances to deal with inference service requests. In this article, we propose a deterministic online algorithm that can rationally schedule these two types of instances to optimize costs without requiring knowledge of future workloads. We prove that the proposed online algorithm achieves a competitive ratio of no more than 2 compared to the optimal offline algorithm. Through simulation experiments, we demonstrate that our algorithm outperforms three benchmarks, which are all-reserved algorithm, all-on-demand algorithm, and traditional online algorithms that only use ECS instances. Our algorithm exhibits superiority across various workloads and can significantly reduces costs in most cases."/>
    <s v="Final"/>
    <s v="IEEE Journals"/>
    <s v="ML /IoT "/>
    <n v="0"/>
    <x v="0"/>
    <x v="0"/>
    <x v="0"/>
    <x v="0"/>
    <x v="1"/>
    <x v="0"/>
    <s v="deterministic online algorithm that can rationally schedule elastic container instance (ECI)and elastic compute service (ECS)"/>
    <s v="exhibits superiority across various workloads and can significantly reduces costs"/>
    <n v="1"/>
  </r>
  <r>
    <x v="5"/>
    <x v="44"/>
    <x v="45"/>
    <s v="Serverless computing has emerged as a transformative paradigm in cloud computing, offering scalability, cost efficiency, and potential environmental benefits. By abstracting infrastructure management and enabling on-demand resource allocation, serverless computing minimizes idle resource consumption and reduces operational overhead. This paper critically examines the sustainability implications of serverless computing, evaluating its impact on energy efficiency, resource utilization, and carbon emissions through empirical studies and a survey of cloud professionals. Our findings indicate that serverless computing significantly reduces energy consumption by up to 70% and operational costs by up to 60%, reinforcing its role in green IT initiatives. However, real-world deployments face challenges such as cold-start latency and workload-dependent inefficiencies, which impact overall sustainability benefits. To address these challenges, we propose strategic recommendations, including fine-grained function decomposition, energy-efficient cloud provider selection, and AI-driven resource management. Additionally, we highlight discrepancies between empirical research and practitioner experiences, emphasizing the need for optimized architectures in order to fully harness the sustainability potential of serverless computing. This study provides a foundation for future research, particularly in integrating machine learning and AI-driven optimizations to enhance energy efficiency and performance in serverless environments."/>
    <s v="Sustainability"/>
    <s v="MDPI"/>
    <s v="ML"/>
    <n v="0"/>
    <x v="0"/>
    <x v="0"/>
    <x v="0"/>
    <x v="0"/>
    <x v="1"/>
    <x v="0"/>
    <s v="fine-grained function decomposition, energy-efficient cloud provider selection, and AI-driven resource management"/>
    <s v="reduces energy consumption and operational costs"/>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s v="Albayati, Ammar; Abdullah, Nor Fadzilah; Abu-Samah, Asma; Mutlag, Ammar Hussein; Nordin, Rosdiadee"/>
    <s v="A Serverless Advanced Metering Infrastructure Based on Fog-Edge Computing for a Smart Grid: A Comparison Study for Energy Sector in Iraq"/>
    <s v="The development of the smart grid (SG) has the potential to bring significant improvements to the energy generation, transmission, and distribution sectors. Hence, adequate handling of fluctuating energy demands is required. This can only be achieved by implementing the concept of transactive energy. Transactive energy aims to optimize energy production, transmission, and distribution combined with next-generation hardware and software, making it a challenge for implementation at a national level, and to ensure the effective collaboration of energy exchange between consumers and producers, a serverless architecture based on functionality can make significant contributions to the smart grids advanced metering infrastructure (SG-AMI). In this paper, a scalable serverless SG-AMI architecture is proposed based on fog-edge computing, virtualization consideration, and Function as a service (FaaS) as a services model to increase the operational flexibility, increase the system performance, and reduce the total cost of ownership. The design was benchmarked against the Iraqi Ministry of Electricity (MOELC) proposed designs for the smart grid, and it was evaluated based on the MOELC traditional computing-design, and a related cloud computing-based design. The results show that our proposed design offers an improvement of 20% to 65% performance on network traffic load, latency, and time to respond, with a reduction of 50% to 67% on the total cost of ownership, lower power and cooling consumption compared to the SG design proposed by MOELC. From this paper, it can be observed that a robust roadmap for SG-AMI architecture can effectively contribute towards increasing the scalability and interoperability, automation, and standardization of the energy sector."/>
    <s v="Energies"/>
    <s v="MDPI"/>
    <s v="fog-edge computing"/>
    <n v="0"/>
    <x v="0"/>
    <x v="0"/>
    <x v="0"/>
    <x v="0"/>
    <x v="0"/>
    <x v="0"/>
    <s v="scalable serverless SG-AMI "/>
    <s v="improve performance network traffic load,latency,time respond"/>
    <n v="1"/>
  </r>
  <r>
    <x v="1"/>
    <s v="Kaur, Rachneet; Schaye, Clara; Thompson, Kevin; Yee, Daniel C.; Zilz, Rachel; Sreenivas, R. S.; Sowers, Richard B."/>
    <s v="Machine learning and price-based load scheduling for an optimal IoT control in the smart and frugal home"/>
    <s v="We pose and study a scheduling problem for an electric load to develop an Internet of Things (IoT) control system for power appliances, which takes advantage of real-time dynamic energy pricing. Using historical pricing data from a large U.S. power supplier, we study and compare several dynamic scheduling policies, which can be implemented in a smart home to activate a major appliance (dishwasher, washing machine, clothes dryer) at an optimal time of the day, to minimize electricity costs. We formulate our scheduling task as a supervised machine learning classification problem which activates the load during one of two preferred time bins. The features used in the machine learning problem are hourly market, spot and day-ahead prices along with delayed label of the prior day. We find that boosting tree-based algorithms outperform any other classification approach with measurable reduction of energy costs over certain types of naive and static policies. We observe that the delayed label has most predictive power across features, followed, on average, by spot, hourly market, and day-ahead energy prices. We further discuss implementation issues using a micro controller system coupled with cloud-based serverless computing and dynamic data storage. Our test system includes an interactive voice interface via an intelligent personal assistant."/>
    <s v="Energy and AI"/>
    <s v="Science Direct"/>
    <s v="IoT / ML"/>
    <s v="energy costs"/>
    <x v="0"/>
    <x v="0"/>
    <x v="0"/>
    <x v="0"/>
    <x v="0"/>
    <x v="0"/>
    <s v="scheduling technique for Historical pricing data via intelligent personal assistant in IoT"/>
    <s v="minimize electricity costs"/>
    <n v="1"/>
  </r>
  <r>
    <x v="1"/>
    <s v="Zhang, Song; Luo, Xiaochuan; Litvinov, Eugene"/>
    <s v="Serverless computing for cloud-based power grid emergency generation dispatch"/>
    <s v="Operating a modern power grid reliably in case of SCADA/EMS failure or amid difficult times like COVID-19 pandemic is a challenging task for grid operators. In [11], a PMU-based emergency generation dispatch scheme has been proposed to help the system operators with the supply and demand balancing; however, its realization highly relies on the control center infrastructure for computing and communication. This work, rather than using the on-premises server and dispatch communication system, proposes and implements a cloud-centric serverless architecture to ensure the operation continuity regardless of local infrastructure’s availability and accessibility. Through its prototype implementation and evaluation at ISO New England, the solution has demonstrated two major advantages. Firstly, the cloud infrastructure is independent and fault-tolerant, providing grid monitoring and control capability even when EMS loses the corresponding functionality or when operators need to work remotely away from the control center. Secondly, the overall design is event-driven using serverless cloud services in response to the SCADA/EMS failure event. Thanks to “serverless”, the burden of the server provisioning and maintenance can be avoided from the user side. The cost of using public cloud services for this solution is extremely low since it is architected and implemented based on the event-driven Function-as-a-Service (FaaS) model. This work also develops a comprehensive cyber security mechanism to comply with critical infrastructure requirements for the power grid, which can serve as an exemplary framework for other grid operators to secure their cloud services."/>
    <s v="International Journal of Electrical Power &amp; Energy Systems"/>
    <s v="Science Direct"/>
    <s v="healthcare on serverless computing platform"/>
    <s v="workload balancing"/>
    <x v="0"/>
    <x v="0"/>
    <x v="0"/>
    <x v="0"/>
    <x v="0"/>
    <x v="0"/>
    <s v="PMU-based emergency generation dispatch scheme/comprehensive cyber security mechanism"/>
    <s v="ensure the operation continuity"/>
    <n v="1"/>
  </r>
  <r>
    <x v="1"/>
    <s v="C. Lin; H. Khazaei"/>
    <s v="Modeling and Optimization of Performance and Cost of Serverless Applications"/>
    <s v="Function-as-a-Service (FaaS) and serverless applications have proliferated significantly in recent years because of their high scalability, ease of resource management, and pay-as-you-go pricing model. However, cloud users are facing practical problems when they migrate their applications to the serverless pattern, which are the lack of analytical performance and billing model and the trade-off between limited budget and the desired quality of service of serverless applications. In this article, we fill this gap by proposing and answering two research questions regarding the prediction and optimization of performance and cost of serverless applications. We propose a new construct to formally define a serverless application workflow, and then implement analytical models to predict the average end-to-end response time and the cost of the workflow. Consequently, we propose a heuristic algorithm named Probability Refined Critical Path Greedy algorithm (PRCP) with four greedy strategies to answer two fundamental optimization questions regarding the performance and the cost. We extensively evaluate the proposed models by conducting experimentation on AWS Lambda and Step Functions. Our analytical models can predict the performance and cost of serverless applications with more than 98 percent accuracy. The PRCP algorithms can achieve the optimal configurations of serverless applications with 97 percent accuracy on average."/>
    <s v="Final"/>
    <s v="IEEE Journals"/>
    <s v="Function-as-a-Service (FaaS)/heuristic algorithm"/>
    <s v="performance and cost"/>
    <x v="0"/>
    <x v="0"/>
    <x v="0"/>
    <x v="0"/>
    <x v="0"/>
    <x v="0"/>
    <s v="(PRCP) heuristic algorithm named Probability Refined Critical Path Greedy algorithm"/>
    <s v="predict the performance and cost of serverless applications"/>
    <n v="1"/>
  </r>
  <r>
    <x v="2"/>
    <s v="Mahgoub, A; Yi, EB; Shankar, K; Minocha, E; Elnikety, S; Bagchi, S; Chaterji, S"/>
    <s v="WiseFuse: Workload Characterization and DAG Transformation for ServerlessWorkflows"/>
    <s v="We characterize production workloads of serverless DAGs at a major cloud provider. Our analysis highlights two major factors that limit performance: (a) lack of efficient communication methods between the serverless functions in the DAG, and (b) stragglers when a DAG stage invokes a set of parallel functions that must complete before starting the next DAG stage. To address these limitations, we propose WiseFuse, an automated approach to generate an optimized execution plan for serverless DAGs for a user-specified latency objective (SLO) or cost budget. We introduce three optimizations: (1) Fusion combines in-series functions together in a single VM to reduce the communication overhead between cascaded functions. (2) Bundling executes a group of parallel invocations of a function in one VM to improve resource sharing among the parallel invocations to reduce skew. (3) Resource Allocation assigns the right size to each VM hosting a function or a group of functions to reduce the latency and cost of invoking the serverless DAG. We implement WiseFuse and evaluate it experimentally using three serverless applications, namely, Video Analytics, Approximate SVD, and ML Analytics, which span different DAG structures, memory footprints, and intermediate data sizes. In comparison to competing approaches, WiseFuse shows significant improvements in E2E latency and cost. Specifically, for the ML pipeline, WiseFuse achieves a P95 latency that is 67% lower than Photons [SoCC-20], 39% lower than Faastlane [USENIX ATC-21], and 90% lower than Sonic [USENIX ATC-21], without increasing the $ cost."/>
    <s v="Final"/>
    <s v="Web of Science"/>
    <s v="serverless DAG"/>
    <n v="0"/>
    <x v="0"/>
    <x v="0"/>
    <x v="1"/>
    <x v="1"/>
    <x v="0"/>
    <x v="0"/>
    <s v=" WiseFuse "/>
    <s v=" reduce the communication overhead between cascaded functions"/>
    <n v="1"/>
  </r>
  <r>
    <x v="2"/>
    <s v="Sethunath, Meenakshi; Peng, Yang"/>
    <s v="A joint function warm-up and request routing scheme for performing confident serverless computing"/>
    <s v="Serverless computing has become increasingly popular recently due to its cost efficiency and flexibility. However, running serverless computing functions in the cloud can incur high end-to-end service latency and operational costs. Running them on edge servers may significantly reduce service latency but is limited by computing power and memory availability. Given the limitations of cloud and edge environments for performing serverless computing, this paper proposes a joint function warm-up and request routing scheme to perform serverless computing functions on edge and cloud collaboratively. The key idea of the new scheme is to maximize the hit ratio of serverless computing requests, thereby reducing the cold-start latency that dominates the overall serving latency. This scheme explicitly considers allocating server memory and operation budget for executing concurrent requests during the scheduling. The proposed scheme has been evaluated through extensive simulations. Its effectiveness has been proved by comparison with the upper-bound results."/>
    <s v="High-Confidence Computing"/>
    <s v="Science Direct"/>
    <s v="edge and cloud serverless computing"/>
    <s v="time (latency)/ cost"/>
    <x v="0"/>
    <x v="0"/>
    <x v="1"/>
    <x v="0"/>
    <x v="0"/>
    <x v="0"/>
    <s v=" joint function warm-up and request routing scheme"/>
    <s v="Reducing the cold-start latency"/>
    <n v="1"/>
  </r>
  <r>
    <x v="2"/>
    <s v="Zhang, Miao; Zhu, Yifei; Liu, Jiangchuan; Wang, Feng; Wang, Fangxin"/>
    <s v="CharmSeeker: Automated Pipeline Configuration for Serverless Video Processing"/>
    <s v="Video processing plays an essential role in a wide range of cloud-based applications. It typically involves multiple pipelined stages, which well fits the latest fine-grained serverless computing paradigm if properly configured to match the cost and delay constraints of video. Existing configuration tools, however, are primarily developed for traditional virtual machine clusters with general workloads. This paper presents CharmSeeker, an automated configuration tuning tool for serverless video processing pipelines. We first carefully examine the key steps and the performance bottlenecks for video processing over modern serverless platforms. Then, we identify the configuration space for processing pipelines and leverage a carefully designed Sequential Bayesian Optimization search scheme to identify promising configurations. We further address the practical challenges toward integrating our solution into real-world systems and develop a prototype with AWS Lambda. Evaluation results show that CharmSeeker can find out the optimal or near-optimal configurations that improve the relative processing time up to 408.77%. It is also more robust and scalable to various video processing pipelines compared with state-of-the-art solutions."/>
    <s v="Publisher: IEEE Press"/>
    <s v="ACM"/>
    <s v="Video processing"/>
    <n v="0"/>
    <x v="0"/>
    <x v="0"/>
    <x v="0"/>
    <x v="0"/>
    <x v="0"/>
    <x v="0"/>
    <s v="CharmSeeker"/>
    <s v="improve the relative processing time"/>
    <n v="1"/>
  </r>
  <r>
    <x v="2"/>
    <s v="Kumari A.; Patra M.K.; Sahoo B.; Behera R.K."/>
    <s v="Resource optimization in performance modeling for serverless application"/>
    <s v="Recently, serverless applications and serverless computing have gained popularity due to their pay-as-you-go billing mechanism, high scalability, high availability, and less burden in resource management. Despite that, many practical issues arise for cloud users while migrating their applications to the serverless environment such as estimating the exact cost, performance evaluation, cope up with the trade-off between performance and cost to get the expected quality of service, and restricted budget for serverless applications. In this research, an effort has been made to bridge the gap by proposing an effective performance model for various serverless applications, which can be represented as Directed Acyclic Graph workflows. Further, we have proposed a greedy optimization-based heuristic algorithm to obtain the resource configuration needed to get optimal end to end response time and the cost. We have leveraged the Step Functions and Lambda service of Amazon Web Service platform for evaluating the proposed models. An extensive analysis of performance-cost trade-off has been performed by considering four real-world serverless applications. © 2022, The Author(s), under exclusive licence to Bharati Vidyapeeth's Institute of Computer Applications and Management."/>
    <s v="Final"/>
    <s v="Scopus"/>
    <s v="serverless computing"/>
    <n v="0"/>
    <x v="0"/>
    <x v="0"/>
    <x v="0"/>
    <x v="0"/>
    <x v="0"/>
    <x v="0"/>
    <s v="greedy optimization-based heuristic algorithm "/>
    <s v="obtain the resource configuration needed to get optimal end to end response time and the cost."/>
    <n v="1"/>
  </r>
  <r>
    <x v="2"/>
    <s v="Singh, P; Kaur, A; Gill, SS"/>
    <s v="Machine learning for cloud, fog, edge and serverless computing environments: comparisons, performance evaluation benchmark and future directions"/>
    <s v="The compute-intensive and latency-sensitive Internet of Things (IoT) applications need to utilise the services from various computing paradigms, but they are facing many challenges such as large value of latency, energy and network bandwidth. To analyse and understand these challenges, we designed a performance evaluation benchmark which integrates Cloud, Fog, Edge and Serverless computing to conduct a comparative study for IoT-based healthcare application. It gives the platform for the developers to design IoT applications based on user guidelines to run various applications concurrently on different paradigms. Furthermore, we used recent machine learning techniques for the optimisation of resources, energy, cost and overheads to identify the best technique based on important Quality of Service parameters. Experimental results show that serverless computing performs better than non-serverless in terms of energy, latency, bandwidth, response time and scalability by 3.8%, 3.2%, 4.3%, 1.5% and 2.7%, respectively. Finally, various promising future directions are highlighted."/>
    <s v="Final"/>
    <s v="Web of Science"/>
    <s v="ML / IoT /serverless computing"/>
    <n v="0"/>
    <x v="0"/>
    <x v="0"/>
    <x v="0"/>
    <x v="0"/>
    <x v="0"/>
    <x v="0"/>
    <s v="Comparative study for IoT-based healthcare application"/>
    <s v="Improve serverless computing performs better than non-serverless in terms of energy, latency, bandwidth, response time and scalability"/>
    <n v="1"/>
  </r>
  <r>
    <x v="2"/>
    <s v="J. Jarachanthan; L. Chen; F. Xu; B. Li"/>
    <s v="Astrea: Auto-Serverless Analytics Towards Cost-Efficiency and QoS-Awareness"/>
    <s v="With the ability to simplify the code deployment with one-click upload and lightweight execution, serverless computing has emerged as a promising paradigm with increasing popularity. However, there remain open challenges when adapting data-intensive analytics applications to the serverless context, in which users of serverless analytics encounter the difficulty in coordinating computation across different stages and provisioning resources in a large configuration space. This paper presents our design and implementation of Astrea, which configures and orchestrates serverless analytics jobs in an autonomous manner, while taking into account flexibly-specified user requirements. Astrea relies on the modeling of performance and cost which characterizes the intricate interplay among multi-dimensional factors (e.g., function memory size, degree of parallelism at each stage). We formulate an optimization problem based on user-specific requirements towards performance enhancement or cost reduction, and develop a set of algorithms based on graph theory to obtain the optimal job execution. We deploy Astrea in the AWS Lambda platform and conduct real-world experiments over representative benchmarks, including Big Data analytics and machine learning workloads, at different scales. Extensive results demonstrate that Astrea can achieve the optimal execution decision for serverless data analytics, in comparison with various provisioning and deployment baselines. For example, when compared with three provisioning baselines, Astrea manages to reduce the job completion time by 21% to 69% under a given budget constraint, while saving cost by 20% to 84% without violating performance requirements."/>
    <s v="Final"/>
    <s v="IEEE Journals"/>
    <s v="ML / Big Data"/>
    <n v="0"/>
    <x v="0"/>
    <x v="0"/>
    <x v="0"/>
    <x v="0"/>
    <x v="0"/>
    <x v="0"/>
    <s v="Astrea"/>
    <s v="reduce the job completion time , saving cost"/>
    <n v="1"/>
  </r>
  <r>
    <x v="2"/>
    <s v="Konstantoudakis K.; Breitgand D.; Doumanoglou A.; Zioulis N.; Weit A.; Christaki K.; Drakoulis P.; Christakis E.; Zarpalas D.; Daras P."/>
    <s v="Serverless streaming for emerging media: towards 5G network-driven cost optimization: A real-time adaptive streaming FaaS service for small-session-oriented immersive media"/>
    <s v="Immersive 3D media is an emerging type of media that captures, encodes and reconstructs the 3D appearance of people and objects, with applications in tele-presence, teleconference, entertainment, gaming and other fields. In this paper, we discuss a novel concept of live 3D immersive media streaming in a serverless setting. In particular, we present a novel network-centric adaptive streaming framework which deviates from the traditional client-based adaptive streaming used in 2D video. In our framework the decisions for the production of the transcoding profiles are taken in a centralized manner, by considering consumer metrics vs provisioning costs and inferring the expected consumer quality of experience and behavior based on them. In addition, we demonstrate that a naive application of the serverless paradigm might be sub-optimal under some common immersive 3D media scenarios. © 2021, The Author(s), under exclusive licence to Springer Science+Business Media, LLC part of Springer Nature."/>
    <s v="Final"/>
    <s v="Scopus"/>
    <s v="3D media streaming in a serverless setting"/>
    <n v="0"/>
    <x v="0"/>
    <x v="0"/>
    <x v="0"/>
    <x v="0"/>
    <x v="0"/>
    <x v="0"/>
    <s v=" novel network-centric adaptive streaming framework"/>
    <s v="provisioning costs and inferring the expected consumer quality of experience"/>
    <n v="1"/>
  </r>
  <r>
    <x v="3"/>
    <s v="Bian, Haoqiong; Sha, Tiannan; Ailamaki, Anastasia"/>
    <s v="Using Cloud Functions as Accelerator for Elastic Data Analytics"/>
    <s v="Cloud function (CF) services, such as AWS Lambda, have been applied as the new computing infrastructure in implementing analytical query engines. For bursty and sparse workloads, CF-based query engine is more elastic than the traditional query engines running in servers, i.e., virtual machines (VMs), and might provide a higher performance/price ratio. However, it is still controversial whether CF services are good suites for general analytical workloads, in respect of the limitations of CFs in storage, network, and lifetime, as well as the much higher resource unit prices than VMs.In this paper, we first present micro-benchmark evaluations of the features of CF and VM. We reveal that for query processing, though CF is more elastic than VM, it is less scalable and is more expensive for continuous workloads. Then, to get the best of both worlds, we propose Pixels-Turbo - a hybrid query engine that processes queries in a scalable VM cluster by default and invokes CFs to accelerate the processing of unpredictable workload spikes. In the query engine, we propose several optimizations to improve the performance and scalability of the CF-based operators and a cost-based optimizer to select the appropriate algorithm and parallelism for the physical query plan. Evaluations on TPC-H and real-world workload show that our query engine has a 1-2 orders of magnitude higher performance/price ratio than state-of-the-art serverless query engines for sustained workloads while not compromising the elasticity for workload spikes."/>
    <s v="Place: New York, NY, USA Publisher: Association for Computing Machinery"/>
    <s v="ACM"/>
    <s v="Cloud function (CF)"/>
    <n v="0"/>
    <x v="0"/>
    <x v="0"/>
    <x v="0"/>
    <x v="1"/>
    <x v="0"/>
    <x v="0"/>
    <s v="Micro-benchmark evaluations of the features of CF and VM"/>
    <s v="Improve performance and scalability of the CF-based operators and a cost-based optimizer "/>
    <n v="1"/>
  </r>
  <r>
    <x v="3"/>
    <s v="A. Raza; N. Akhtar; V. Isahagian; I. Matta; L. Huang"/>
    <s v="Configuration and Placement of Serverless Applications Using Statistical Learning"/>
    <s v="In the last decade, serverless computing emerged as a new compelling paradigm for the deployment of cloud applications and services. It represents an evolution of cloud computing with a simplified programming model, that aims to abstract away most operational concerns. Running serverless applications requires users to configure multiple parameters, such as memory, CPU, cloud provider, etc. While relatively simpler, configuring such parameters correctly while minimizing cost and meeting delay constraints is not trivial. In this paper, we present COSE, a framework that uses Bayesian Optimization to find the optimal resource configuration and placement for functions in a serverless application. COSE uses statistical learning techniques to intelligently collect samples and predict the cost and execution time of a serverless function across unseen configuration values. Our framework uses the predicted cost and execution time on available locations to select the &quot;best&quot; configuration parameters and placement for running a serverless application while satisfying customer objectives. We evaluate COSE on AWS Lambda with real-world applications consisting of multiple functions (both linear chains and service graphs), where we successfully found optimal/near-optimal configurations. We also evaluate COSE over a wide range of simulated distributed cloud environments that confirm the efficacy of our approach."/>
    <s v="Final"/>
    <s v="IEEE Journals"/>
    <s v="Bayesian Optimization"/>
    <n v="0"/>
    <x v="1"/>
    <x v="0"/>
    <x v="0"/>
    <x v="0"/>
    <x v="0"/>
    <x v="0"/>
    <s v="COSE"/>
    <s v="optimal/near-optimal configurations"/>
    <n v="1"/>
  </r>
  <r>
    <x v="3"/>
    <s v="Kumari A.; Sahoo B.; Behera R.K."/>
    <s v="Workflow aware analytical model to predict performance and cost of serverless execution"/>
    <s v="Serverless computing has emerged as a powerful deployment model based on the Function-as-a-Service (FaaS) paradigm, where applications are orchestrated through a set of independent functions. The function orchestration within an application can be represented through a serverless workflow, which defines the overall execution plan of the application. To ensure the quality of service for serverless computing platforms, it is essential to develop performance and cost models that can predict the service quality that can be obtained from deploying and executing applications in the cloud platform. While several analytical models have been developed for various cloud deployment frameworks in recent years, there has been a lack of performance and cost analysis models for serverless computing platforms. The existing performance and cost monitoring tools available in serverless frameworks face several challenges, such as complexity, lack of transparency, and incomplete monitoring data. In this paper, we fill the gap by proposing an efficient workflow-based analytical model that can estimate the end-to-end response time and cost of the serverless execution plan. The proposed model can handle complex structures like loop, cycles, self-loop, and parallel substructures that exist in serverless workflows. Additionally, we propose a heuristic optimization algorithm to identify the optimal resource configuration to achieve the optimal response time under a given budget constraint. We evaluated the effectiveness of the proposed model by considering seven serverless applications in both AWS Lambda and Microsoft Azure platforms. We compared the accuracy of the proposed model with the real values of response time and cost obtained in AWS Lambda and Microsoft Azure serverless platforms. The proposed performance and cost model in the AWS Lambda platform has been observed to have an average accuracy of 99.2% and 98.7% respectively. In the Microsoft Azure platform, the average accuracy of the performance and cost model has been observed to be 98.6% and 98.2% respectively. © 2023 John Wiley &amp; Sons, Ltd."/>
    <s v="Final"/>
    <s v="Scopus"/>
    <s v="function orchestration on serverless computing"/>
    <n v="0"/>
    <x v="0"/>
    <x v="0"/>
    <x v="0"/>
    <x v="0"/>
    <x v="0"/>
    <x v="0"/>
    <s v="efficient workflow-based analytical model"/>
    <s v="estimate the end-to-end response time and cost"/>
    <n v="1"/>
  </r>
  <r>
    <x v="3"/>
    <s v="Mampage, Anupama; Karunasekera, Shanika; Buyya, Rajkumar"/>
    <s v="Deep reinforcement learning for application scheduling in resource-constrained, multi-tenant serverless computing environments"/>
    <s v="Serverless computing has sparked a massive interest in both the cloud service providers and their clientele in recent years. This model entails the shift of the entire matter of resource management of user applications to the service provider. In serverless systems, the provider is highly motivated to attain cost efficient usage of their infrastructure, given the granular billing modules involved. However, due to the dynamic and multi-tenant nature of the serverless workloads and systems, achieving efficient resource management while maintaining function performance is a challenging task. Rapid changes in demand levels for applications cause variations in actual resource usage patterns of function instances. This leads to performance variations in co-located functions which compete for similar resources, due to resource contentions. Most existing serverless scheduling works offer heuristic techniques for function scheduling, which are unable to capture the true dynamism in these systems caused by multi-tenancy and varying user request patterns. Further, they rarely consider the often contradicting dual objectives of achieving provider resource efficiency along with application performance. In this article, we propose a novel technique incorporating Deep Reinforcement Learning (DRL) to overcome the aforementioned challenges for function scheduling in a highly dynamic serverless computing environment with heterogeneous computing resources. We train and evaluate our model in a practical setting incorporating Kubeless, an open-source serverless framework, deployed on a 23-node Kubernetes cluster setup. Extensive experiments done on this testbed environment show promising results with improvements of up to 24% and 34% in terms of application response time and resource usage cost respectively, compared to baseline techniques."/>
    <s v="Future Generation Computer Systems"/>
    <s v="Science Direct"/>
    <s v="DRL"/>
    <n v="0"/>
    <x v="0"/>
    <x v="0"/>
    <x v="0"/>
    <x v="0"/>
    <x v="0"/>
    <x v="0"/>
    <s v="Deep Reinforcement Learning (DRL) technique"/>
    <s v=" Improve application response time and resource usage cost "/>
    <n v="1"/>
  </r>
  <r>
    <x v="4"/>
    <s v="Datta, Somoshree; Addya, Sourav Kanti; Ghosh, Soumya K."/>
    <s v="ESMA: Towards elevating system happiness in a decentralized serverless edge computing framework"/>
    <s v="Due to the rapid growth in the adoption of numerous technologies, such as smartphones and the Internet of Things (IoT), edge and serverless computing have started gaining momentum in today's computing infrastructure. It has led to the production of huge amounts of data and has also resulted in increased network traffic, which if not managed well can cause network congestion. To address this and maintain the quality of service (QoS), in this work, a novel dispatch (destination selection) algorithm called Egalitarian Stable Matching Algorithm (ESMA) for faster data processing has been developed while also considering the best use of server resources in a decentralized Serverless-Edge environment. This will allow us to effectively utilize the enormous volumes of data that are generated. The proposed algorithm has been able to achieve lower overall dissatisfaction scores for the entire system. Individually, the client's happiness as well as the server's happiness have improved over the baseline. Moreover, there has been a drop of 25.7% in the total execution time and the total network resources consumed are lower as compared to the baseline algorithm as well as random-allocation algorithm."/>
    <s v="Journal of Parallel and Distributed Computing"/>
    <s v="Science Direct"/>
    <s v="IoT/ edge computing"/>
    <n v="0"/>
    <x v="1"/>
    <x v="0"/>
    <x v="1"/>
    <x v="1"/>
    <x v="0"/>
    <x v="0"/>
    <s v="(ESMA) Egalitarian Stable Matching Algorithm "/>
    <s v=" client's happiness as well as the server's happiness have improved over the baseline/ reduce execution time and the total network resources consumed "/>
    <n v="1"/>
  </r>
  <r>
    <x v="4"/>
    <s v="Mirampalli S.; Wankar R.; Srirama S.N."/>
    <s v="Evaluating NiFi and MQTT based serverless data pipelines in fog computing environments"/>
    <s v="Recent advancements in Internet of Things (IoT) technology have driven massive amounts of raw data. Due to the hardware limitations of the constraint IoT environments, we cannot fully perform all data analytical tasks in the local environment. In contrast, data transferring, storing, and processing in the cloud suffer from cloud cost, latency and security issues. In this context, we require a multi-layer data processing environment to balance all these issues. Data pipeline concepts allow data processing between source and destination on multiple fog devices. On the other hand, IoT applications are event-driven. So, building these apps in a serverless computing manner minimizes operational and billing costs. Moreover, this provides flexibility to deploy tasks anywhere, irrespective of the underlying operating system. In this paper, we investigated two serverless data pipeline approaches designed with Message Queuing Telemetry Transport (MQTT) and Apache NiFi. Our proposed approaches were tested with the image streaming data, where we performed object detection in the images. Our experimental results compared these two approaches regarding pipeline execution time, memory and CPU usage. The results conclude that the Apache NiFi-based serverless data pipeline consumes more CPU than MQTT-based serverless data pipeline, however outperforms it in terms of execution time and memory utilization. © 2023 Elsevier B.V."/>
    <s v="Final"/>
    <s v="Scopus"/>
    <s v="IoT /serverless computing"/>
    <n v="0"/>
    <x v="1"/>
    <x v="0"/>
    <x v="1"/>
    <x v="1"/>
    <x v="0"/>
    <x v="0"/>
    <s v="(MQTT) Message Queuing Telemetry Transport"/>
    <s v="improve execution time in pipeline memory and CPU usage"/>
    <n v="1"/>
  </r>
  <r>
    <x v="4"/>
    <s v="Karim S.; Qureshi K.N.; Ibrahim A.O.; Abulfaraj A.W.; Ghafoor K.Z."/>
    <s v="Enhanced centroid-based energy-efficient clustering routing protocol for serverless based wireless sensor networks"/>
    <s v="Serverless computing is a new concept as cloud computing, which dynamically manages the networks and is applied in Serverless Wireless Sensor Networks (SWSN) to help the networks. These networks are becoming famous for monitoring various physical and environmental factors. Serverless computing also facilitates the networks by offering an extensive range of applications. Different applications have been designed for monitoring purposes where the sensor nodes sense the data and transmit it to the base station through single or multi-hop routing. However, existing routing protocols cannot manage the sensor nodes’ energy issues because of the complex routing processes and depleted their power before their time. Because of these limitations, the nodes close to BS continuously rely on the network for data forwarding. As a result, these nodes cause energy consumption and lead to a useless state. This paper proposes a serverless architecture and designs an Enhanced Centroid-based Energy Efficient Clustering (ECEEC) protocol for SWSN networks. The proposed serverless architecture provides automated scalability, cost-effective services, and stateless execution. In addition, the proposed protocol offers the cluster head selection and its rotation to maximize the energy efficiency in the network. Furthermore, gateway nodes are chosen in every cluster to overcome the load on the cluster head. Simulation results indicated the excellent performance of the proposed protocol as compared to the existing routing protocols concerning network lifetime and energy consumption. The proposed protocol shows better reliability with nodes failing at 650 rounds compared to 600 rounds, especially with 5 % and 10 % Cluster Heads. The proposed protocol exhibits superior energy efficiency consumption of SNs under varying CH percentages, indicating the protocol's consistent performance across different scenarios. © 2024 The Author(s)"/>
    <s v="Final"/>
    <s v="Scopus"/>
    <s v="serverless computing"/>
    <n v="0"/>
    <x v="0"/>
    <x v="0"/>
    <x v="1"/>
    <x v="1"/>
    <x v="0"/>
    <x v="1"/>
    <s v="(ECEEC) Enhanced Centroid-based Energy Efficient Clustering "/>
    <s v="better reliability, superior energy efficiency consumption of SNs under varying CH percentages"/>
    <n v="1"/>
  </r>
  <r>
    <x v="4"/>
    <s v="Sahaya Sakila V.; Manohar S."/>
    <s v="Real-time air quality monitoring in Bull Trench Kiln-based Brick industry by calibrating sensor readings and utilizing the Serverless Computing"/>
    <s v="Bull Trench Kiln-based Brick industries are major contributors of Particulate Matter Pollutants (PM2.5 and PM10), which leads to deterioration of air quality, and hence needs to be monitored. As the static air monitoring stations require huge infrastructure and are sparsely located, it is necessary to find alternate ways using recent technologies like IoT, Machine Learning, and Serverless Computing. IoT devices being low cost and portable could be deployed near brick industries, however, they are sensitive to fluctuating ambient air temperature or humidity and hence have to be calibrated and there is a need for powerful back-end infrastructures for storage and analyses of data. The existing approach of transmitting IoT-based data to the cloud is time-consuming, energy inefficient, prone to scaling problems, has poor resource utilization, and is expensive. In this study, the IoT data are calibrated using ML Classifier algorithms and an Automatic Function Triggerer - Function-as-a-Service (AFT-FaaS) method is proposed, which is based on event-driven, Serverless method using AWS Lambda along with the Three-Tier Serverless architecture (Edge Tier, Fog Tire, and Cloud Tier) to deal with the challenges of delay, under-resource allocation, and to reduce the expenditures. The data transmitted to the cloud using the proposed AFT-FaaS method are indexed in ElasticSearch and Kibana is used for the analysis and visualization of data. While performing calibration, Random Forest Classifier was chosen as it had accuracy of above 98%. Finally, an in-depth pricing analysis is performed to better understand the difference between different configurations deployed for Serverless and non-Serverless Computing methods, which shows there is a significant reduction (7 times) of expenses incurred while using Serverless Computing than the non-Serverless Computing methods. © 2023 Elsevier Ltd"/>
    <s v="Final"/>
    <s v="Scopus"/>
    <s v="ML /IoT/Edge/fog"/>
    <n v="0"/>
    <x v="0"/>
    <x v="0"/>
    <x v="1"/>
    <x v="1"/>
    <x v="0"/>
    <x v="0"/>
    <s v="(AFT-FaaS)  Automatic Function Triggerer - Function-as-a-Service"/>
    <s v="Improve delay, under-resource allocation, and to reduce the expenditures"/>
    <n v="1"/>
  </r>
  <r>
    <x v="4"/>
    <s v="Wang Z.; Goudarzi M.; Gong M.; Buyya R."/>
    <s v="Deep Reinforcement Learning-based scheduling for optimizing system load and response time in edge and fog computing environments"/>
    <s v="Edge/fog computing, as a distributed computing paradigm, satisfies the low-latency requirements of ever-increasing number of IoT applications and has become the mainstream computing paradigm behind IoT applications. However, because large number of IoT applications require execution on the edge/fog resources, the servers may be overloaded. Hence, it may disrupt the edge/fog servers and also negatively affect IoT applications’ response time. Moreover, many IoT applications are composed of dependent components incurring extra constraints for their execution. Besides, edge/fog computing environments and IoT applications are inherently dynamic and stochastic. Thus, efficient and adaptive scheduling of IoT applications in heterogeneous edge/fog computing environments is of paramount importance. However, limited computational resources on edge/fog servers imposes an extra burden for applying optimal but computationally demanding techniques. To overcome these challenges, we propose a Deep Reinforcement Learning-based IoT application Scheduling algorithm, called DRLIS to adaptively and efficiently optimize the response time of heterogeneous IoT applications and balance the load of the edge/fog servers. We implemented DRLIS as a practical scheduler in the FogBus2 function-as-a-service framework for creating an edge–fog–cloud integrated serverless computing environment. Results obtained from extensive experiments show that DRLIS significantly reduces the execution cost of IoT applications by up to 55%, 37%, and 50% in terms of load balancing, response time, and weighted cost, respectively, compared with metaheuristic algorithms and other reinforcement learning techniques. © 2023 The Author(s)"/>
    <s v="Final"/>
    <s v="Scopus"/>
    <s v="DRL / IoT/Edge/fog computing"/>
    <n v="0"/>
    <x v="0"/>
    <x v="0"/>
    <x v="1"/>
    <x v="1"/>
    <x v="0"/>
    <x v="0"/>
    <s v="DRLIS - Deep Reinforcement Learning-based IoT application Scheduling algorithm"/>
    <s v="reduces the execution cost of IoT applications in terms of load balancing, response time, and weighted cost"/>
    <n v="1"/>
  </r>
  <r>
    <x v="4"/>
    <s v="Dehury C.K.; Poojara S.; Srirama S.N."/>
    <s v="Def-DReL: Towards a sustainable serverless functions deployment strategy for fog-cloud environments using deep reinforcement learning"/>
    <s v="Modern cloud applications are composed of tens of thousands of environment-agnostic serverless functions that can be deployed in either a fog or cloud environment. The key to sustaining fog computing is to offload the maximum amounts of computation to the cloud, and accommodate as many users as possible without compromising quality of service (QoS). However, recent research mainly focuses on assigning maximum resources to serverless applications from the fog node and not taking full advantage of the cloud environment, leading to a lack of sustainability in fog computing. As a way to fill this research gap, we explored what percentage of a user's request should be handled by fog and cloud. As a result, we proposed Def-DReL, a Systematic Deployment of Serverless Functions in Fog and Cloud environments using Deep Reinforcement Learning, by taking into account several real-life parameters, including distance from a nearby fog node and latency, priority of the user, priority of serverless applications, and resource usage. Def-DReL's performance is further compared with that of recent related algorithms. Simulation and comparison results clearly demonstrate a lesser number of serverless functions from each user (with approximately 10% improvement) being deployed in the fog node, resulting in accommodating limited fog resources to more number of users. The other simulation results show its superiority over other algorithms as well as its applicability to real-life scenarios. © 2023 Elsevier B.V."/>
    <s v="Final"/>
    <s v="Scopus"/>
    <s v="DRL / fog"/>
    <n v="0"/>
    <x v="0"/>
    <x v="0"/>
    <x v="1"/>
    <x v="1"/>
    <x v="0"/>
    <x v="0"/>
    <s v="Def-DReL, a Systematic Deployment of Serverless Functions"/>
    <s v="A lesser number of serverless functions from each user being deployed in the fog node, resulting in accommodating limited fog resources to more number of users"/>
    <n v="1"/>
  </r>
  <r>
    <x v="4"/>
    <s v="C Chen, M Herrera, G Zheng, L Xia, Z Ling, J Wang"/>
    <s v="Cross-Edge Orchestration of Serverless Functions with Probabilistic Caching"/>
    <s v="Serverless edge computing adopts an event-based paradigm that provides back-end services on an as-used basis, resulting in efficient resource utilization. To improve the end-toend latency and revenue, service providers need to  ptimize the number and placement of serverless containers while considering the system cost incurred by the  rovisioning. The particular reason for this circumstance is that frequently creating and destroying containers not only  ncreases the system cost but also degrades the time responsiveness due to the cold-start process. Function caching is a common approach to mitigate the coldstart issue. However, function caching requires extra hardware resources and hence incurs extra system costs.  urthermore, the dynamic and bursty nature of serverless invocations remains an under-explored area. Hence, it is vitally  mportant for service providers to conduct a context-aware request istribution and container caching policy for  erverless edge computing. In this paper, we study the request distribution and container caching problem in serverless edge computing. We prove the proposed problem is NP-hard and hence difficult to find a global optimal solution. We  ointly consider the distributed and resourceconstrained nature of edge computing and propose an optimized request  istribution algorithm that adapts to the dynamics of serverless  nvocations with a theoretical performance guarantee. Also, we propose a context-aware probabilistic caching policy that incorporates a number of characteristics of  erverless invocations. Via simulation and implementation results, we demonstrate the superiority of the proposed  lgorithm by outperforming existing caching policies in terms of the overall system cost and cold-start frequency by up to  2.1% and 69.1%, respectively."/>
    <s v="IEEE Transactions on Services Computing"/>
    <s v="IEEEXplore"/>
    <s v="edge computing"/>
    <n v="0"/>
    <x v="0"/>
    <x v="1"/>
    <x v="1"/>
    <x v="0"/>
    <x v="0"/>
    <x v="0"/>
    <s v="NP-hard "/>
    <s v="improve overall system cost and cold-start"/>
    <n v="1"/>
  </r>
  <r>
    <x v="4"/>
    <s v="Tran M.-N.; Kim Y."/>
    <s v="Concurrent service auto-scaling for Knative resource quota-based serverless system"/>
    <s v="Serverless computing platforms currently provide application developers with two ways to control their services’ resource usage cost: resource usage-based and resource quota-based. In usage-based systems, resources are assigned to services based on the amount they consume. Meanwhile, a fixed resource amount is reserved and shared between services for quota-based systems. Several studies have been proposed to enhancing the default serverless auto- scaling algorithms to optimize resource usage and service quality. However, almost all previous works targeted usage-based systems and optimized auto-scaling performance for each separate service. In contrast, this work targets auto-scaling of concurrent services in serverless quota-based systems. In serverless quota-based systems, over-quota resource usage and latency Service Level Objective (SLO) violation may occur when auto-scaling new instances during burst traffic moments. Hence, we aim to find an optimal hybrid auto-scaling decision to minimize over-quota resource usage and latency SLO violation. To solve this problem, We applied deep reinforcement learning and traffic prediction techniques. Our solution is developed and implemented based on the characteristics of the most popular open-source serverless platform Knative. For evaluation, we compared our solution with the default Knative auto-scaler and our previously proposed usage-based hybrid Knative auto-scaler. We configured the default Knative auto-scaler with two different settings that can optimize the total resource usage of all services or minimize service latency. Compared to the optimized resource usage version, our solution traded a slightly higher resource usage for an 11.3% latency SLO violation duration reduction. Meanwhile, compared with the optimized latency version, our solution reduced the over-quota resource usage rate by 18.25% while achieving a similar latency SLO preservation performance. Compared to the usage-based hybrid auto-scaler, the latency SLO violation rate and over-quota resource usage were approximately reduced by half. © 2024"/>
    <s v="Final"/>
    <s v="Scopus"/>
    <s v="serverless quota-based systems/ DRL"/>
    <n v="0"/>
    <x v="0"/>
    <x v="0"/>
    <x v="1"/>
    <x v="0"/>
    <x v="0"/>
    <x v="0"/>
    <s v="DRL hybrid auto-scaling solution"/>
    <s v="find an optimal hybrid autoscaling policy that can minimize both the service latency SLO violation"/>
    <n v="1"/>
  </r>
  <r>
    <x v="4"/>
    <s v="Yang J.; Abraham A."/>
    <s v="Analyzing the Features, Usability, and Performance of Deploying a Containerized Mobile Web Application on Serverless Cloud Platforms"/>
    <s v="Serverless computing services are offered by major cloud service providers such as Google Cloud Platform, Amazon Web Services, and Microsoft Azure. The primary purpose of the services is to offer efficiency and scalability in modern software development and IT operations while reducing overall costs and operational complexity. However, prospective customers often question which serverless service will best meet their organizational and business needs. This study analyzed the features, usability, and performance of three serverless cloud computing platforms: Google Cloud’s Cloud Run, Amazon Web Service’s App Runner, and Microsoft Azure’s Container Apps. The analysis was conducted with a containerized mobile application designed to track real-time bus locations for San Antonio public buses on specific routes and provide estimated arrival times for selected bus stops. The study evaluated various system-related features, including service configuration, pricing, and memory and CPU capacity, along with performance metrics such as container latency, distance matrix API response time, and CPU utilization for each service. The results of the analysis revealed that Google’s Cloud Run demonstrated better performance and usability than AWS’s App Runner and Microsoft Azure’s Container Apps. Cloud Run exhibited lower latency and faster response time for distance matrix queries. These findings provide valuable insights for selecting an appropriate serverless cloud service for similar containerized web applications. © 2024 by the authors."/>
    <s v="Final"/>
    <s v="Scopus"/>
    <s v="serverless computing"/>
    <n v="0"/>
    <x v="0"/>
    <x v="0"/>
    <x v="1"/>
    <x v="0"/>
    <x v="0"/>
    <x v="0"/>
    <s v="Analysis study / comparison Google cloud and AWS"/>
    <s v="lower latency and faster response time for distance matrix queries."/>
    <n v="1"/>
  </r>
  <r>
    <x v="4"/>
    <s v="Katare, D; Marin, E; Kourtellis, N; Janssen, M; Ding, AY"/>
    <s v="ARASEC: Adaptive Resource Allocation and Model Training for Serverless EdgeCloud Computing"/>
    <s v="Developing and deploying resource-aware artificial intelligence (AI) models presents a compelling optimization challenge in edge computing and serverless domains. Current research focuses mainly on scalable training and inference that uses serverless frameworks to optimize operational costs. However, these approaches often overlook the challenges of heterogeneous-aware training and overall cost optimization, including computing, memory, and communication. Our work introduces a framework for a heterogeneous edge environment, focusing on the model and key performance metrics like accuracy, floating-point operations per second, number of parameters, and latency. This framework enables distributed training within a serverless architecture. Further, it explores the construction of machine learning models from existing serverless functions using a lookup table while estimating AI model training in edge, cloud, or hybrid settings. We test the framework on object detection tasks in AI model development and deployment by using serverless operations."/>
    <s v="Final"/>
    <s v="Web of Science"/>
    <s v="ML /AI / edge computing"/>
    <n v="0"/>
    <x v="0"/>
    <x v="0"/>
    <x v="1"/>
    <x v="0"/>
    <x v="0"/>
    <x v="0"/>
    <s v=" a framework for a heterogeneous edge environment"/>
    <s v="enables distributed training within a serverless architecture"/>
    <n v="1"/>
  </r>
  <r>
    <x v="4"/>
    <s v="Mahdizadeh S.H.; Abrishami S."/>
    <s v="An assignment mechanism for workflow scheduling in Function as a Service edge environment"/>
    <s v="Serverless computing has revolutionized cloud-based software development for software developers, addressing many of the associated challenges. With resource management and infrastructure provisioning handled by the provider, developers can focus on deploying services at the application level, which has gained significant popularity. Edge computing, with its proximity to end-users and ability to offer low-cost, high-speed services, has emerged as a promising solution for latency-sensitive applications. By providing Function-as-a-Service (FaaS) capabilities at the network edge, it becomes easier to leverage the available edge capacity. However, edge servers have limited capacity to provide FaaS services, and user access is typically restricted to their geographic region. This presents a challenge in achieving optimal resource allocation in a multi-user environment, given the dynamic and unpredictable nature of edge computing. To address these challenges, we have proposed a dynamic resource provisioning and allocation approach for Edge FaaS. Our approach models the application structure as a directed acyclic graph, representing a workflow of computational functions. Drawing inspiration from the many-to-many assignment mechanism used in the course allocation problem, we have developed a mechanism to assign multi-user workflows to the limited Edge FaaS resources. This mechanism considers the priority of users’ ready tasks, determined by upward rank, with the goal of reducing workflow execution time. Additionally, we have proposed two methods for on-demand provisioning: the Highest Bid First Mechanism (HBFM) and the Warm Function First Mechanism (WFFM). Experimental results have shown that the proposed resource allocation methods effectively allocate limited resources to users, leading to reduced workflow completion time. © 2024 Elsevier B.V."/>
    <s v="Final"/>
    <s v="Scopus"/>
    <s v="Serverless computing /Edge FaaS"/>
    <n v="0"/>
    <x v="1"/>
    <x v="0"/>
    <x v="0"/>
    <x v="0"/>
    <x v="0"/>
    <x v="0"/>
    <s v="(HBFM) Highest Bid First Mechanism and (WFFM) the Warm Function First Mechanism"/>
    <s v="Reduced workflow completion time"/>
    <n v="1"/>
  </r>
  <r>
    <x v="4"/>
    <s v="T. Larcher; P. Gritsch; S. Nastic; S. Ristov"/>
    <s v="BaaSLess: Backend-as-a-Service (BaaS)-Enabled Workflows in Federated Serverless Infrastructures"/>
    <s v="Serverless is a popular paradigm for expressing compute-intensive applications as serverless workflows. In practice, a significant portion of the computing is typically offloaded to various Backend-as-a-Service (BaaS) cloud services. The recent rise of federated serverless and Sky computing offers cost and performance advantages for these BaaS-enabled serverless workflows. However, due to vendor lock-in and lack of service interoperability, many challenges remain that impact the development, deployment, and scheduling of BaaS-enabled serverless workflows in federated serverless infrastructures. This paper introduces BaaSLess â€“ a novel platform that delivers global and dynamic federated BaaS to serverless workflows. BaaSLess provides: i) a novel SDK for uniform and dynamic access to federated BaaS services, reducing the complexity associated with the development of BaaS-enabled serverless workflows, ii) a novel globally-federated serverless BaaS framework that delivers a suite of BaaS-less ML services, including text-to-speech, speech-to-text, translation, and OCR, together with a globally-federated storage infrastructure, comprising AWS and Google cloud providers, and iii) a novel model and an algorithm for scheduling BaaS-enabled serverless workflows to improve their performance. Experimental results using three complementary BaaS-enabled serverless workflows show that BaaSLess improves workflow execution time by up to $2.95\times$2.95Ã— compared to the state-of-the-art serverless schedulers, often at a lower cost."/>
    <s v="Final"/>
    <s v="IEEE Journals"/>
    <s v="BaaS / ML"/>
    <n v="0"/>
    <x v="1"/>
    <x v="0"/>
    <x v="0"/>
    <x v="0"/>
    <x v="0"/>
    <x v="0"/>
    <s v="BAASLESS: Backend-as-a-Service"/>
    <s v="improves workflow execution time "/>
    <n v="1"/>
  </r>
  <r>
    <x v="4"/>
    <s v="Shojaee Rad Z.; Ghobaei-Arani M."/>
    <s v="Data pipeline approaches in serverless computing: a taxonomy, review, and research trends"/>
    <s v="Serverless computing has gained significant popularity due to its scalability, cost-effectiveness, and ease of deployment. With the exponential growth of data, organizations face the challenge of efficiently processing and analyzing vast amounts of data in a serverless environment. Data pipelines play a crucial role in managing and transforming data within serverless architectures. This paper provides a taxonomy of data pipeline approaches in serverless computing. Classification is based on architectural features, data processing techniques, and workflow orchestration mechanisms, these approaches are categorized into three primary methods: heuristic-based approach, Machine learning-based approach, and framework-based approach. Furthermore, a systematic review of existing data pipeline frameworks and tools is provided, encompassing their strengths, limitations, and real-world use cases. The advantages and disadvantages of each approach, also the challenges and performance metrics that influence their effectuality have been examined. Every data pipeline approach has certain advantages and disadvantages, whether it is framework-based, heuristic-based, or machine learning-based. Each approach is suitable for specific use cases. Hence, it is crucial assess the trade-offs between complexity, performance, cost, and scalability, while selecting a data pipeline approach. In the end, the paper highlights a number of open issues and future investigations directions for data pipeline in the serverless computing, which involve scalability, fault tolerance, data real time processing, data workflow orchestration, function state management with performance and cost in the serverless computing environments. © The Author(s) 2024."/>
    <s v="Final"/>
    <s v="Scopus"/>
    <s v="Systematic review paper / data pipeline/ ML"/>
    <n v="0"/>
    <x v="0"/>
    <x v="0"/>
    <x v="0"/>
    <x v="0"/>
    <x v="0"/>
    <x v="0"/>
    <s v="non"/>
    <s v="heuristic-based approach, Machine learning-based approach, and framework-based approach"/>
    <n v="1"/>
  </r>
  <r>
    <x v="4"/>
    <s v="Su, Yongye; Sun, Yinqi; Zhang, Minjia; Wang, Jianguo"/>
    <s v="Vexless: A Serverless Vector Data Management System Using Cloud Functions"/>
    <s v="Cloud functions, exemplified by AWS Lambda and Azure Functions, are emerging as a new computing paradigm in the cloud. They provide elastic, serverless, and low-cost cloud computing, making them highly suitable for bursty and sparse workloads, which are quite common in practice. Thus, there is a new trend in designing data systems that leverage cloud functions. In this paper, we focus on vector databases, which have recently gained significant attention partly due to large language models. In particular, we investigate how to use cloud functions to build high-performance and cost-efficient vector databases. This presents significant challenges in terms of how to perform sharding, how to reduce communication overhead, and how to minimize cold-start times.In this paper, we introduce Vexless, the first vector database system optimized for cloud functions. We present three optimizations to address the challenges. To perform sharding, we propose a global coordinator (orchestrator) that assigns workloads to Cloud function instances based on their available hardware resources. To overcome communication overhead, we propose the use of stateful cloud functions, eliminating the need for costly communications during synchronization. To minimize cold-start overhead, we introduce a workload-aware Cloud function lifetime management strategy. Vexless has been implemented using Azure Functions. Experimental results demonstrate that Vexless can significantly reduce costs, especially on bursty and sparse workloads, compared to cloud VM instances, while achieving similar or higher query performance and accuracy."/>
    <s v="Place: New York, NY, USA Publisher: Association for Computing Machinery"/>
    <s v="ACM"/>
    <s v="Cloud function (CF)"/>
    <n v="0"/>
    <x v="0"/>
    <x v="0"/>
    <x v="0"/>
    <x v="0"/>
    <x v="0"/>
    <x v="0"/>
    <s v="Workload-aware Cloud function lifetime management strategy"/>
    <s v="minimize cold-start overhead/ reduce costs"/>
    <n v="1"/>
  </r>
  <r>
    <x v="5"/>
    <s v="Daraghmeh M.; Jararweh Y.; Agarwal A."/>
    <s v="Leveraging machine learning and feature engineering for optimal data-driven scaling decision in serverless computing"/>
    <s v="Serverless computing offers scalability and cost-efficiency, but balancing performance and cost remains challenging, particularly in scaling decisions that can lead to cold starts or resource misallocation. This research is motivated by the need to minimize the impact of cold starts and optimize resource utilization in serverless applications by developing intelligent, data-driven scaling decisions. We delve into using machine learning and feature engineering to model and simulate predictions for optimal scaling decisions for Azure Function Apps (AFA). Our focus lies in predicting the ideal timing for provisioning or de-provisioning the Function App's environment. Using historical invocation data, we applied a sliding window to transform the time-series data into patterns categorized as load or unload classes, considering various target periods. To identify the most effective model, we compared the performance of various baseline models with and without calibration (isotonic and sigmoid) to enhance precision. In addition, we assess multiple feature extraction methods in invocation patterns and explore the use of Principal Component Analysis (PCA) for dimensionality reduction to reduce computation costs. Using the best-identified configurations, we model and simulate the class patterns over time to compare the actual classes with the predicted ones, focusing on memory usage and the costs associated with cold starts. The proposed model is thoroughly evaluated using various metrics under different setups, revealing notable improvements in scaling decisions achieved by applying calibration and feature engineering methods. These findings demonstrate the potential of machine learning for intelligent, data-driven scaling decisions in serverless computing, offering valuable insights for cloud providers to optimize resource allocation and for developers to build more efficient and responsive serverless applications. Specifically, the proposed method can be integrated into serverless platforms to automatically adjust resource provisioning based on predicted workload demands, reducing cold start latency and improving cost-effectiveness. © 2025 The Authors"/>
    <s v="Final"/>
    <s v="Scopus"/>
    <s v="ML"/>
    <n v="0"/>
    <x v="0"/>
    <x v="1"/>
    <x v="1"/>
    <x v="1"/>
    <x v="0"/>
    <x v="0"/>
    <s v="not mentioned "/>
    <s v=" optimize resource allocation and for developers to build more efficient and responsive serverless applications"/>
    <n v="1"/>
  </r>
  <r>
    <x v="5"/>
    <s v="Mampage A.; Karunasekera S.; Buyya R."/>
    <s v="A deep reinforcement learning based algorithm for time and cost optimized scaling of serverless applications"/>
    <s v="Serverless computing has gained a strong traction in the cloud computing community in recent years. Among the many benefits of this novel computing model, the rapid auto-scaling capability of user applications takes prominence. However, the offer of adhoc scaling of user deployments at function level introduces many complications to serverless systems. The added delay and failures in function request executions caused by the time consumed for dynamically creating new resources to suit function workloads, known as the cold-start delay, is one such very prevalent shortcoming. Maintaining idle resource pools to alleviate this issue often results in wasted resources from the cloud provider perspective. Existing solutions to address this limitation mostly focus on predicting and understanding function load levels in order to proactively create required resources. Although these solutions improve function performance, the lack of understanding on the overall system characteristics in making these scaling decisions often leads to the sub-optimal usage of system resources. Further, the multi-tenant nature of serverless systems requires a scalable solution adaptable for multiple co-existing applications, a limitation seen in most current solutions. In this paper, we introduce a novel multi-agent Deep Reinforcement Learning based intelligent solution for both horizontal and vertical scaling of function resources, based on a comprehensive understanding on both function and system requirements. Our solution elevates function performance reducing cold starts, while also offering the flexibility for optimizing resource maintenance cost to the service providers. Experiments conducted considering varying workload scenarios show improvements of up to 23% and 34% in terms of application latency and request failures, or alternatively saving up to 45% in infrastructure cost for the service providers. © 2025"/>
    <s v="Final"/>
    <s v="Scopus"/>
    <s v="DRL"/>
    <n v="0"/>
    <x v="0"/>
    <x v="1"/>
    <x v="1"/>
    <x v="1"/>
    <x v="0"/>
    <x v="0"/>
    <s v="multi-agent Deep Reinforcement Learning"/>
    <s v="reducing cold starts, while also offering the flexibility for optimizing resource maintenance cost to the service providers"/>
    <n v="1"/>
  </r>
  <r>
    <x v="5"/>
    <s v="Hanaforoosh M.; Azgomi M.A.; Ashtiani M."/>
    <s v="Reducing the cost of cold start time in serverless function executions using granularity trees"/>
    <s v="In serverless computing, cold starts significantly impede performance. This paper presents a granularity tree-based scheduling strategy, dynamically adjusting serverless function deployment by package dependencies to mitigate cold starts and optimize resource usage. This approach notably reduces cold start and response times. Empirical results from evaluating functions across various datasets show the strategy outperforms existing methods. Specifically, it consistently delivers lower response times and decreases resource consumption, demonstrating its effectiveness in managing computational resources while ensuring swift function invocation. In particular scenarios, the proposed scheduler impressively reduced response times from 8134.1 ms to 392.8 ms and idle memory usage from 15.2 GB to 11.2 GB per machine. In other scenarios, it reduced response times from 12,152.7 ms to 504.2 ms while maintaining a 100% function execution percentage. These quantified improvements underscore the significant enhancements in cold start mitigation and overall system performance, highlighting the potential of granularity tree-based scheduling in enhancing serverless computing architectures by effectively balancing rapid response with reduced resource usage. © 2024 Elsevier B.V."/>
    <s v="Final"/>
    <s v="Scopus"/>
    <s v="serverless function"/>
    <n v="0"/>
    <x v="0"/>
    <x v="1"/>
    <x v="0"/>
    <x v="0"/>
    <x v="0"/>
    <x v="0"/>
    <s v="granularity tree-based scheduling strategy"/>
    <s v="reduced response time and idle memory usage"/>
    <n v="1"/>
  </r>
  <r>
    <x v="5"/>
    <s v="Huang X.; Gu R.; Huang Y."/>
    <s v="Towards Efficient Serverless MapReduce Computing on Cloud-Native Platforms"/>
    <s v="MapReduce is one of the most classic and powerful parallel computing models in the field of big data. It is still active in the big data system ecosystem and is currently evolving towards cloud-native environment. Among them, due to its elasticity and ease-to-use, Serverless computing is one of the most promising directions of cloud-native technology. To support MapReduce big data computing capabilities in a Serverless environment can give full play to Serverless's advantages. However, due to different underlying system architecture, three issues will be encountered when running MapReduce jobs in the Serverless environment. Firstly, the scheduling strategy is difficult to fully utilize the available resources. Secondly, reading Shuffle index data on cloud storage is inefficient and expensive. Thirdly, cloud storage Input/Output (I/O) request latency has a long tail effect. To solve these problems, this paper proposes three strategies with a MapReduce parallel processing framework in Serverless environment. Experimental results show that compared with cutting-edge systems, our approach shortens job execution time by 25.6% on average and reduces job execution costs by 17.3%. © 2018 Tsinghua University Press."/>
    <s v="Final"/>
    <s v="Scopus"/>
    <s v="big data"/>
    <n v="0"/>
    <x v="1"/>
    <x v="0"/>
    <x v="1"/>
    <x v="0"/>
    <x v="0"/>
    <x v="0"/>
    <s v="MapReduce  parallel processing framework"/>
    <s v=" shortens job execution time and reduces job execution costs "/>
    <n v="1"/>
  </r>
  <r>
    <x v="5"/>
    <s v="J. VepsÃ¤lÃ¤inen; P. Vuorimaa; A. Hellas"/>
    <s v="The Potential of Serverless Edge-Powered Islands for Web Development"/>
    <s v="Web developers face two significant challenges when developing their applications and websites: latency and payload size. Given that web services rely on servers, the related communication incurs a cost in terms of latency. In contrast, the payload passed to the client incurs a communication cost, not to mention the computational cost to the client. The concept of serverless edge computing, built on top of content delivery networks (CDNs), is an approach that has begun to gain the attention of web developers for its promise of lower latencies due to its efficiencies in communication thanks to globally distributed networks and replication. Islands architecture is a technical approach that addresses payload size by giving developers easy ways to defer and potentially even avoid the cost of loading content. Combined, these two approaches form edge-powered islands and, in this article, we examine how the combination can help to address these two notable costs web developers have to consider in their daily work. Our findings indicate that edge-powered islands can provide a way to introduce interactivity to otherwise static websites while wrapping dynamic portions of a page within islands to gain the benefits of static approaches in more dynamic contexts, such as storefronts. In addition, islands can provide loading benefits even for more application-like websites, such as social networks, and give web developers an additional control layer in their development work."/>
    <s v="Final"/>
    <s v="River Publishers Journals"/>
    <s v="serverless edge computing"/>
    <n v="0"/>
    <x v="0"/>
    <x v="0"/>
    <x v="1"/>
    <x v="0"/>
    <x v="0"/>
    <x v="0"/>
    <s v="(CDNs) content delivery networks"/>
    <s v="not mentioned"/>
    <n v="1"/>
  </r>
  <r>
    <x v="5"/>
    <s v="S. Liu; L. Pan; S. Liu; K. Qi"/>
    <s v="An Online Algorithm for Inference Service Scheduling Using Combinations of Server-Based and Serverless Instances in Cloud Environments"/>
    <s v="With the continuous development in the field of machine learning, there is an increasing demand for the cloud-based machine learning inference services, which are latency-sensitive tasks, such as the service requests from the Internet of Things (IoT) devices. These inference services are generally accompanied by fluctuations and uncertainties, so they often require vastly varied numbers of servers at different time spots. As a result, how to dynamically and rationally schedule cloud servers for inference services has become an important issue. Alibaba Cloud currently provides its serverless instances called elastic container instance (ECI), and due to the advantages of pay-as-you-go billing and second-level elasticity, they are well-suited for handling bursty or fluctuating workloads. At the same time, Alibaba Cloudâ€™s subscription-based elastic compute service (ECS) instances can be used for steady-state workloads. Our objective is to dynamically combine these two types of instances to deal with inference service requests. In this article, we propose a deterministic online algorithm that can rationally schedule these two types of instances to optimize costs without requiring knowledge of future workloads. We prove that the proposed online algorithm achieves a competitive ratio of no more than 2 compared to the optimal offline algorithm. Through simulation experiments, we demonstrate that our algorithm outperforms three benchmarks, which are all-reserved algorithm, all-on-demand algorithm, and traditional online algorithms that only use ECS instances. Our algorithm exhibits superiority across various workloads and can significantly reduces costs in most cases."/>
    <s v="Final"/>
    <s v="IEEE Journals"/>
    <s v="ML /IoT "/>
    <n v="0"/>
    <x v="0"/>
    <x v="0"/>
    <x v="1"/>
    <x v="0"/>
    <x v="0"/>
    <x v="0"/>
    <s v="deterministic online algorithm that can rationally schedule elastic container instance (ECI)and elastic compute service (ECS)"/>
    <s v="exhibits superiority across various workloads and can significantly reduces costs"/>
    <n v="1"/>
  </r>
  <r>
    <x v="5"/>
    <s v="Akour, Mohammed; Alenezi, Mamdouh"/>
    <s v="Reducing Environmental Impact with Sustainable Serverless Computing"/>
    <s v="Serverless computing has emerged as a transformative paradigm in cloud computing, offering scalability, cost efficiency, and potential environmental benefits. By abstracting infrastructure management and enabling on-demand resource allocation, serverless computing minimizes idle resource consumption and reduces operational overhead. This paper critically examines the sustainability implications of serverless computing, evaluating its impact on energy efficiency, resource utilization, and carbon emissions through empirical studies and a survey of cloud professionals. Our findings indicate that serverless computing significantly reduces energy consumption by up to 70% and operational costs by up to 60%, reinforcing its role in green IT initiatives. However, real-world deployments face challenges such as cold-start latency and workload-dependent inefficiencies, which impact overall sustainability benefits. To address these challenges, we propose strategic recommendations, including fine-grained function decomposition, energy-efficient cloud provider selection, and AI-driven resource management. Additionally, we highlight discrepancies between empirical research and practitioner experiences, emphasizing the need for optimized architectures in order to fully harness the sustainability potential of serverless computing. This study provides a foundation for future research, particularly in integrating machine learning and AI-driven optimizations to enhance energy efficiency and performance in serverless environments."/>
    <s v="Sustainability"/>
    <s v="MDPI"/>
    <s v="ML"/>
    <n v="0"/>
    <x v="0"/>
    <x v="0"/>
    <x v="1"/>
    <x v="0"/>
    <x v="0"/>
    <x v="0"/>
    <s v="fine-grained function decomposition, energy-efficient cloud provider selection, and AI-driven resource management"/>
    <s v="reduces energy consumption and operational costs"/>
    <n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x v="0"/>
    <s v="Enes, Jonatan; Expósito, Roberto R.; Touriño, Juan"/>
    <s v="Real-time resource scaling platform for Big Data workloads on serverless environments"/>
    <s v="The serverless execution paradigm is becoming an increasingly popular option when workloads are to be deployed in an abstracted way, more specifically, without specifying any infrastructure requirements. Currently, such workloads are typically comprised of small programs or even a series of single functions used as event triggers or to process a data stream. Other applications that may also fit on a serverless scenario are stateless services that may need to seamlessly scale in terms of resources, such as a web server. Although several commercial serverless services are available (e.g., Amazon Lambda), their use cases are mostly limited to the execution of functions or scripts that can be adapted to predefined templates or specifications. However, current research efforts point out that it is interesting for the serverless paradigm to evolve from single functions and support more flexible infrastructure units such as operating-system-level virtualization in the form of containers. In this paper we present a novel platform to automatically scale container resources in real time, while they are running, and without any need for reboots. This platform is evaluated using Big Data workloads, both batch and streaming, as representative examples of applications that could be initially regarded as unsuitable for the serverless paradigm considering the currently available services. The results show how our serverless platform can improve the CPU utilization by up to 77% with an execution time overhead of only 6%, while remaining scalable when using a 32-container cluster."/>
    <s v="Future Generation Computer Systems"/>
    <s v="Science Direct"/>
    <s v="Big data on Serverless platform"/>
    <s v="time / CPU utilization"/>
    <x v="0"/>
    <x v="0"/>
    <x v="0"/>
    <x v="0"/>
    <x v="0"/>
    <x v="0"/>
    <s v="platform to automatically scale container resources in real time"/>
    <s v="improve execution time overhead"/>
    <n v="1"/>
  </r>
  <r>
    <x v="1"/>
    <s v="Kehrer S.; Zietlow D.; Scheffold J.; Blochinger W."/>
    <s v="Self-tuning serverless task farming using proactive elasticity control"/>
    <s v="The cloud evolved into an attractive execution environment for parallel applications, which make use of compute resources to speed up the computation of large problems in science and industry. Whereas Infrastructure as a Service (IaaS) offerings have been commonly employed, more recently, serverless computing emerged as a novel cloud computing paradigm with the goal of freeing developers from resource management issues. However, as of today, serverless computing platforms are mainly used to process computations triggered by events or user requests that can be executed independently of each other and benefit from on-demand and elastic compute resources as well as per-function billing. In this work, we discuss how to employ serverless computing platforms to operate parallel applications. We specifically focus on the class of parallel task farming applications and introduce a novel approach to free developers from both parallelism and resource management issues. Our approach includes a proactive elasticity controller that adapts the physical parallelism per application run according to user-defined goals. Specifically, we show how to consider a user-defined execution time limit after which the result of the computation needs to be present while minimizing the associated monetary costs. To evaluate our concepts, we present a prototypical elastic parallel system architecture for self-tuning serverless task farming and implement two applications based on our framework. Moreover, we report on performance measurements for both applications as well as the prediction accuracy of the proposed proactive elasticity control mechanism and discuss our key findings. © 2020, Springer Science+Business Media, LLC, part of Springer Nature."/>
    <s v="Final"/>
    <s v="Scopus"/>
    <s v="serverless computing model"/>
    <s v="time/ no. excutions / price"/>
    <x v="0"/>
    <x v="0"/>
    <x v="0"/>
    <x v="0"/>
    <x v="0"/>
    <x v="0"/>
    <s v=" prototypical elastic parallel system architecture for self-tuning serverless task farming "/>
    <m/>
    <n v="1"/>
  </r>
  <r>
    <x v="1"/>
    <s v="Rausch T.; Rashed A.; Dustdar S."/>
    <s v="Optimized container scheduling for data-intensive serverless edge computing"/>
    <s v="Operating data-intensive applications on edge systems is challenging, due to the extreme workload and device heterogeneity, as well as the geographic dispersion of compute and storage infrastructure. Serverless computing has emerged as a compelling model to manage the complexity of such systems, by decoupling the underlying infrastructure and scaling mechanisms from applications. Although serverless platforms have reached a high level of maturity, we have found several limiting factors that inhibit their use in an edge setting. This paper presents a container scheduling system that enables such platforms to make efficient use of edge infrastructures. Our scheduler makes heuristic trade-offs between data and computation movement, and considers workload-specific compute requirements such as GPU acceleration. Furthermore, we present a method to automatically fine-tune the weights of scheduling constraints to optimize high-level operational objectives such as minimizing task execution time, uplink usage, or cloud execution cost. We implement a prototype that targets the container orchestration system Kubernetes, and deploy it on an edge testbed we have built. We evaluate our system with trace-driven simulations in different infrastructure scenarios, using traces generated from running representative workloads on our testbed. Our results show that (a) our scheduler significantly improves the quality of task placement compared to the state-of-the-art scheduler of Kubernetes, and (b) our method for fine-tuning scheduling parameters helps significantly in meeting operational goals. © 2020"/>
    <s v="Final"/>
    <s v="Scopus"/>
    <s v="serverless computing model"/>
    <s v="task execution time/ cloud execution cost/"/>
    <x v="0"/>
    <x v="0"/>
    <x v="0"/>
    <x v="1"/>
    <x v="0"/>
    <x v="0"/>
    <s v="container scheduling system "/>
    <s v="improves the quality of task placement"/>
    <n v="1"/>
  </r>
  <r>
    <x v="2"/>
    <s v="Banaei A.; Sharifi M."/>
    <s v="ETAS: predictive scheduling of functions on worker nodes of Apache OpenWhisk platform"/>
    <s v="Fast execution of functions is an inevitable challenge in the serverless computing landscape. Inefficient dispatching, fluctuations in invocation rates, burstiness of workloads, and wide range of execution times of serverless functions result in load imbalances and overloading of worker nodes of serverless platforms that impose high latency on invocations. This paper is concentrated on function scheduling within worker nodes of Apache OpenWhisk serverless platform and presents ETAS, a predictive scheduling scheme to reduce response times of invocations besides increasing workers throughputs and resource utilizations. ETAS schedules functions using their execution times, estimated by their previous execution’s history, arrival times, and containers’ status. We have implemented ETAS in Apache OpenWhisk and show that, compared to the OpenWhisk worker scheduler and several queue scheduling schemes, ETAS outperforms others by reducing the average waiting time by 30% and increasing the throughput by 40%. © 2021, The Author(s), under exclusive licence to Springer Science+Business Media, LLC, part of Springer Nature."/>
    <s v="Final"/>
    <s v="Scopus"/>
    <s v="function scheduling IN SERVERLESS COMPUTING"/>
    <n v="0"/>
    <x v="0"/>
    <x v="0"/>
    <x v="1"/>
    <x v="0"/>
    <x v="0"/>
    <x v="1"/>
    <s v="ETAS"/>
    <s v="Reduce response times of invocations besides increasing workers throughputs and resource utilizations"/>
    <n v="1"/>
  </r>
  <r>
    <x v="3"/>
    <s v="Li M.; Zhang J.; Lin J.; Chen Z.; Zheng X."/>
    <s v="FireFace: Leveraging Internal Function Features for Configuration of Functions on Serverless Edge Platforms"/>
    <s v="The emerging serverless computing has become a captivating paradigm for deploying cloud applications, alleviating developers’ concerns about infrastructure resource management by configuring necessary parameters such as latency and memory constraints. Existing resource configuration solutions for cloud-based serverless applications can be broadly classified into modeling based on historical data or a combination of sparse measurements and interpolation/modeling. In pursuit of service response and conserving network bandwidth, platforms have progressively expanded from the traditional cloud to the edge. Compared to cloud platforms, serverless edge platforms often lead to more running overhead due to their limited resources, resulting in undesirable financial costs for developers when using the existing solutions. Meanwhile, it is extremely challenging to handle the heterogeneity of edge platforms, characterized by distinct pricing owing to their varying resource preferences. To tackle these challenges, we propose an adaptive and efficient approach called FireFace, consisting of prediction and decision modules. The prediction module extracts the internal features of all functions within the serverless application and uses this information to predict the execution time of the functions under specific configuration schemes. Based on the prediction module, the decision module analyzes the environment information and uses the Adaptive Particle Swarm Optimization algorithm and Genetic Algorithm Operator (APSO-GA) algorithm to select the most suitable configuration plan for each function, including CPU, memory, and edge platforms. In this way, it is possible to effectively minimize the financial overhead while fulfilling the Service Level Objectives (SLOs). Extensive experimental results show that our prediction model obtains optimal results under all three metrics, and the prediction error rate for real-world serverless applications is in the range of 4.25∼9.51%. Our approach can find the optimal resource configuration scheme for each application, which saves 7.2∼44.8% on average compared to other classic algorithms. Moreover, FireFace exhibits rapid adaptability, efficiently adjusting resource allocation schemes in response to dynamic environments. © 2023 by the authors."/>
    <s v="Final"/>
    <s v="Scopus"/>
    <s v="serverless edge"/>
    <n v="0"/>
    <x v="0"/>
    <x v="0"/>
    <x v="1"/>
    <x v="0"/>
    <x v="0"/>
    <x v="0"/>
    <s v="(APSO-GA) Adaptive Particle Swarm Optimization algorithm and Genetic Algorithm Operator"/>
    <s v="select the most suitable configuration plan for each function, including CPU, memory, and edge platforms"/>
    <n v="1"/>
  </r>
  <r>
    <x v="3"/>
    <s v="Svingos, Christoforos; Hernich, Andre; Gildhoff, Hinnerk; Papakonstantinou, Yannis; Ioannidis, Yannis"/>
    <s v="Foreign Keys Open the Door for Faster Incremental View Maintenance"/>
    <s v="Serverless cloud-based warehousing systems enable users to create materialized views in order to speed up predictable and repeated query workloads. Incremental view maintenance (IVM) minimizes the time needed to bring a materialized view up-to-date. It allows the refresh of a materialized view solely based on the base table changes since the last refresh. In serverless cloud-based warehouses, IVM uses computations defined as SQL scripts that update the materialized view based on updates to its base tables. However, the scripts set up for materialized views with inner joins are not optimal in the presence of foreign key constraints. For instance, for a join of two tables, the state of the art IVM computations use a UNION ALL operator of two joins - one computing the contributions to the join from updates to the first table and the other one computing the remaining contributions from the second table. Knowing that one of the join keys is a foreign-key would allow us to prune all but one of the UNION ALL branches and obtain a more efficient IVM script. In this work, we explore ways of incorporating knowledge about foreign key into IVM in order to speed up its performance. Experiments in Redshift showed that the proposed technique improved the execution times of the whole refresh process up to 2 times, and up to 2.7 times the process of calculating the necessary changes that will be applied into the materialized view."/>
    <s v="Place: New York, NY, USA Publisher: Association for Computing Machinery"/>
    <s v="ACM"/>
    <s v="Serverless computing"/>
    <n v="0"/>
    <x v="0"/>
    <x v="0"/>
    <x v="0"/>
    <x v="1"/>
    <x v="0"/>
    <x v="0"/>
    <s v="Incremental view maintenance (IVM)"/>
    <s v="improved the execution times"/>
    <n v="1"/>
  </r>
  <r>
    <x v="3"/>
    <s v="Singh B.; Kaur R.; Woodside M.; Chinneck J.W."/>
    <s v="Low-power multi-cloud deployment of large distributed service applications with response-time constraints"/>
    <s v="Distributed service applications make heavy use of clouds and multi-clouds, and must (i) meet service quality goals (e.g. response time) while (ii) satisfying cloud resource constraints and (iii) conserving power. Deployment algorithms must (iv) provide a solution meeting these requirements within a short time to be useful in practice. Very few existing deployment methods address the first three requirements, and those that do take too long to find a deployment. The Low-Power Multi-Cloud Application Deployment (LPD) algorithm fills this gap with a low-complexity heuristic combination of generalized graph partitioning between clouds, bin-packing within each cloud and queueing approximations to control the response time. LPD has no known competitor that quickly finds a solution that satisfies response time bounds. A host execution time approximation for contention is fundamental to achieving sufficient solution speed. LPD is intended for use by cloud managers who must simultaneously manage hosts and application deployments and plan capacity to offer services such as Serverless Computing. On 104 test scenarios deploying up to 200 processes with up to 240 replicas (for scaling), LPD always produced a feasible solution within 100 s (within 20 seconds in over three-quarters of cases). Compared to the Mixed Integer Program solution by CPLEX (which took a lot longer and was sometimes not found) LPD solutions gave power consumption equal to MIP in a third of cases and within 6% of MIP in 95% of cases. In 93% of all 104 cases the power consumption is within 20% of an (unachievable) lower bound. LPD is intended as a stand-alone heuristic to meet solution time restrictions, but could easily be adapted for use as a repair mechanism in a Genetic Algorithm. © 2022, The Author(s)."/>
    <s v="Final"/>
    <s v="Scopus"/>
    <s v="Multi-Cloud Application Deployment"/>
    <n v="0"/>
    <x v="0"/>
    <x v="0"/>
    <x v="0"/>
    <x v="0"/>
    <x v="0"/>
    <x v="0"/>
    <s v="(LPD) Low-Power Multi-Cloud Application Deployment"/>
    <m/>
    <n v="1"/>
  </r>
  <r>
    <x v="3"/>
    <s v="A. Raza; N. Akhtar; V. Isahagian; I. Matta; L. Huang"/>
    <s v="Configuration and Placement of Serverless Applications Using Statistical Learning"/>
    <s v="In the last decade, serverless computing emerged as a new compelling paradigm for the deployment of cloud applications and services. It represents an evolution of cloud computing with a simplified programming model, that aims to abstract away most operational concerns. Running serverless applications requires users to configure multiple parameters, such as memory, CPU, cloud provider, etc. While relatively simpler, configuring such parameters correctly while minimizing cost and meeting delay constraints is not trivial. In this paper, we present COSE, a framework that uses Bayesian Optimization to find the optimal resource configuration and placement for functions in a serverless application. COSE uses statistical learning techniques to intelligently collect samples and predict the cost and execution time of a serverless function across unseen configuration values. Our framework uses the predicted cost and execution time on available locations to select the &quot;best&quot; configuration parameters and placement for running a serverless application while satisfying customer objectives. We evaluate COSE on AWS Lambda with real-world applications consisting of multiple functions (both linear chains and service graphs), where we successfully found optimal/near-optimal configurations. We also evaluate COSE over a wide range of simulated distributed cloud environments that confirm the efficacy of our approach."/>
    <s v="Final"/>
    <s v="IEEE Journals"/>
    <s v="Bayesian Optimization"/>
    <n v="0"/>
    <x v="0"/>
    <x v="0"/>
    <x v="0"/>
    <x v="0"/>
    <x v="1"/>
    <x v="0"/>
    <s v="COSE"/>
    <s v="optimal/near-optimal configurations"/>
    <n v="1"/>
  </r>
  <r>
    <x v="3"/>
    <s v="Arjona A.; Finol G.; López P.G."/>
    <s v="Transparent serverless execution of Python multiprocessing applications"/>
    <s v="Access transparency means that both local and remote resources are accessed using identical operations. With transparency, unmodified single-machine applications could run over disaggregated compute, storage, and memory resources. Hiding the complexity of distributed systems through transparency would have great benefits, like scaling-out local-parallel scientific applications over flexible disaggregated resources in the Cloud. This paper presents a performance evaluation where we assess the feasibility of access transparency over state-of-the-art Cloud disaggregated resources for Python multiprocessing applications. We have interfaced the multiprocessing module with an implementation that transparently runs processes on serverless functions and uses an in-memory data store for shared state. To evaluate transparency, we run in the Cloud four unmodified applications: Uber Research's Evolution Strategies, Baselines-AI's Proximal Policy Optimization, Pandaral.lel's dataframe, and Scikit Learn's Hyperparameter tuning. We compare execution time and scalability of the same application running over disaggregated resources using our library, with the single-machine Python multiprocessing libraries in a large VM. For equal resources, applications efficiently using message-passing abstractions achieve comparable results despite the significant overheads of remote communication. Other shared-memory intensive applications do not perform due to high remote memory latency. The results show that Python's multiprocessing library design is an enabler towards transparency: legacy applications using efficient disaggregated abstractions can transparently scale beyond VM limited resources for increased parallelism without changing the underlying code or architecture. © 2022 The Author(s)"/>
    <s v="Final"/>
    <s v="Scopus"/>
    <s v="AI/ (PPO) Proximal Policy Optimization"/>
    <n v="0"/>
    <x v="0"/>
    <x v="0"/>
    <x v="1"/>
    <x v="0"/>
    <x v="0"/>
    <x v="0"/>
    <s v="Baselines-AI's Proximal Policy Optimization"/>
    <s v="Improve of latency"/>
    <n v="1"/>
  </r>
  <r>
    <x v="4"/>
    <s v="Ana Ebrahimi a, Mostafa Ghobaei-Arani a,*, Hadi Saboohi b"/>
    <s v="Cold start latency mitigation mechanisms in serverless computing: Taxonomy, review, and future directions"/>
    <s v="Today, Function-as-a-Service (FaaS), as an emerging path to implementing serverless computing paradigm, seems quite promising in responding to the growing increase in requests for microservices. However, the serverless computing model also brings new challenges. Although the execution time of the functions is very short in FaaS, the initialization of containers and cold start is time-consuming and leads to a decrease in system performance. Cold start latency reduces the attractiveness of FaaS with the cost it imposes on the system. This is the most serious challenge in the majority of serverless computing platforms. Despite the importance of the subject, to the best of our knowledge, there is no comprehensive systematic review of cold start latency mitigation mechanisms in serverless computing platforms. This study aims to provide a systematic literature review on cold start latency mitigation mechanisms in serverless computing environment. In our proposed taxonomy, the mechanisms are classified into four categories: application-based, checkpoint-based, invocation time prediction-based, and cache-based; then, every category is introduced and reviewed. Finally, we propose open issues and conclude."/>
    <s v="Journal of Systems Architecture"/>
    <s v="Science Direct"/>
    <s v="Taxonomy"/>
    <n v="0"/>
    <x v="0"/>
    <x v="1"/>
    <x v="1"/>
    <x v="0"/>
    <x v="0"/>
    <x v="0"/>
    <s v="non"/>
    <m/>
    <n v="1"/>
  </r>
  <r>
    <x v="4"/>
    <s v="Mahdizadeh S.H.; Abrishami S."/>
    <s v="An assignment mechanism for workflow scheduling in Function as a Service edge environment"/>
    <s v="Serverless computing has revolutionized cloud-based software development for software developers, addressing many of the associated challenges. With resource management and infrastructure provisioning handled by the provider, developers can focus on deploying services at the application level, which has gained significant popularity. Edge computing, with its proximity to end-users and ability to offer low-cost, high-speed services, has emerged as a promising solution for latency-sensitive applications. By providing Function-as-a-Service (FaaS) capabilities at the network edge, it becomes easier to leverage the available edge capacity. However, edge servers have limited capacity to provide FaaS services, and user access is typically restricted to their geographic region. This presents a challenge in achieving optimal resource allocation in a multi-user environment, given the dynamic and unpredictable nature of edge computing. To address these challenges, we have proposed a dynamic resource provisioning and allocation approach for Edge FaaS. Our approach models the application structure as a directed acyclic graph, representing a workflow of computational functions. Drawing inspiration from the many-to-many assignment mechanism used in the course allocation problem, we have developed a mechanism to assign multi-user workflows to the limited Edge FaaS resources. This mechanism considers the priority of users’ ready tasks, determined by upward rank, with the goal of reducing workflow execution time. Additionally, we have proposed two methods for on-demand provisioning: the Highest Bid First Mechanism (HBFM) and the Warm Function First Mechanism (WFFM). Experimental results have shown that the proposed resource allocation methods effectively allocate limited resources to users, leading to reduced workflow completion time. © 2024 Elsevier B.V."/>
    <s v="Final"/>
    <s v="Scopus"/>
    <s v="Serverless computing /Edge FaaS"/>
    <n v="0"/>
    <x v="0"/>
    <x v="0"/>
    <x v="0"/>
    <x v="0"/>
    <x v="1"/>
    <x v="0"/>
    <s v="(HBFM) Highest Bid First Mechanism and (WFFM) the Warm Function First Mechanism"/>
    <s v="Reduced workflow completion time"/>
    <n v="1"/>
  </r>
  <r>
    <x v="4"/>
    <s v="Karamzadeh A.; Shameli-Sendi A."/>
    <s v="Reducing cold start delay in serverless computing using lightweight virtual machines"/>
    <s v="In recent years, serverless computing has gained considerable attention in academic, professional, and business circles. Unique features such as code development flexibility and the cost-efficient pay-as-you-go pricing model have led to predictions of widespread adoption of serverless services. Major players in the cloud computing sector, including industry giants like Amazon, Google, and Microsoft, have made significant advancements in the field of serverless services. However, cloud computing faces complex challenges, with two prominent ones being the latency caused by cold start instances and security vulnerabilities associated with container escapes. These challenges undermine the smooth execution of isolated functions, a concern amplified by technologies like Google gVisor and Kata Containers. While the integration of tools like lightweight virtual machines has alleviated concerns about container escape vulnerabilities, the primary issue remains the increased delay experienced during cold start instances in the execution of serverless functions. The purpose of this research is to propose an architecture that reduces cold start delay overhead by utilizing lightweight virtual machines within a commercial architecture, thereby achieving a setup that closely resembles real-world scenarios. This research employs supervised learning methodologies to predict function invocations by leveraging the execution patterns of other program functions. The goal is to proactively mitigate cold start scenarios by invoking the target function before actual user initiation, effectively transitioning from cold starts to warm starts. In this study, we compared our approach with two fixed and variable window strategies. Commercial platforms like Knative, OpenFaaS, and OpenWhisk typically employ a fixed 15-minute window during cold starts. In contrast to these platforms, our approach demonstrated a significant reduction in cold start incidents. Specifically, when calling a function 200 times with 5, 10, and 20 invocations within one hour, our approach achieved reductions in cold starts by 83.33%, 92.13%, and 90.90%, respectively. Compared to the variable window approach, which adjusts the window based on cold start values, our proposed approach was able to prevent 82.92%, 91.66%, and 90.56% of cold starts for the same scenario. These results highlight the effectiveness of our approach in significantly reducing cold starts, thereby enhancing the performance and responsiveness of serverless functions. Our method outperformed both fixed and variable window strategies, making it a valuable contribution to the field of serverless computing. Additionally, the implementation of pre-invocation strategies to convert cold starts into warm starts results in a substantial reduction in the execution time of functions within lightweight virtual machines. © 2024 Elsevier Ltd"/>
    <s v="Final"/>
    <s v="Scopus"/>
    <s v="Serverless computing"/>
    <n v="0"/>
    <x v="0"/>
    <x v="1"/>
    <x v="1"/>
    <x v="0"/>
    <x v="0"/>
    <x v="0"/>
    <s v="not mentioned "/>
    <s v="reducing cold starts, thereby enhancing the performance"/>
    <n v="1"/>
  </r>
  <r>
    <x v="4"/>
    <s v="Czentye J.; Sonkoly B."/>
    <s v="Serverless application composition leveraging function fusion: Theory and algorithms"/>
    <s v="Serverless computing is a novel cloud computing paradigm enabling flexible, cost-efficient and fine-granular development of cloud-native applications, although without any guarantees on scheduling or execution times. Thus, various high-level solutions have been proposed in recent years to find proper configurations of individual FaaS functions, while considering user-given QoS requirements. However, the ever-increasing complexity of invocation patterns among stateless functions, externalized management of intermediate states, and diverse public cloud resources pose new challenges to the composition of highly data-intensive serverless applications. In this paper, we fill this gap by proposing novel algorithms based on the emerging function fusion technique, along with the related cost/performance models of composite functions supporting implicit instance parallelization and internal state propagation. We prove the NP-completeness of the underlying latency-constrained tree partitioning problem, and design a bicriteria approximation scheme and a greedy heuristic to derive cost-efficient deployment configurations in polynomial time. With the help of extensive simulations using synthetic call graphs generated from public cloud traces, we demonstrate the applicability and superior runtime performance of our proposed methods compared to state-of-the-art solutions. In addition, we showcase that further cost-reduction of up to 3–6 % can be achieved compared to the optimal partitioning with the allowance of tolerable latency violations. © 2023 The Author(s)"/>
    <s v="Final"/>
    <s v="Scopus"/>
    <s v="Serverless application"/>
    <n v="0"/>
    <x v="0"/>
    <x v="0"/>
    <x v="1"/>
    <x v="0"/>
    <x v="0"/>
    <x v="0"/>
    <s v="not mentioned "/>
    <s v="improve cost-reduction and superior runtime performance"/>
    <n v="1"/>
  </r>
  <r>
    <x v="4"/>
    <s v="Shahid U.; Ahmed G.; Siddiqui S.; Shuja J.; Balogun A.O."/>
    <s v="Latency-Sensitive Function Placement among Heterogeneous Nodes in Serverless Computing"/>
    <s v="Function as a Service (FaaS) is highly beneficial to smart city infrastructure due to its flexibility, efficiency, and adaptability, specifically for integration in the digital landscape. FaaS has serverless setup, which means that an organization no longer has to worry about specific infrastructure management tasks; the developers can focus on how to deploy and create code efficiently. Since FaaS aligns well with the IoT, it easily integrates with IoT devices, thereby making it possible to perform event-based actions and real-time computations. In our research, we offer an exclusive likelihood-based model of adaptive machine learning for identifying the right place of function. We employ the XGBoost regressor to estimate the execution time for each function and utilize the decision tree regressor to predict network latency. By encompassing factors like network delay, arrival computation, and emphasis on resources, the machine learning model eases the selection process of a placement. In replication, we use Docker containers, focusing on serverless node type, serverless node variety, function location, deadlines, and edge-cloud topology. Thus, the primary objectives are to address deadlines and enhance the use of any resource, and from this, we can see that effective utilization of resources leads to enhanced deadline compliance. © 2024 by the authors."/>
    <s v="Final"/>
    <s v="Scopus"/>
    <s v="ML / IoT"/>
    <n v="0"/>
    <x v="0"/>
    <x v="0"/>
    <x v="1"/>
    <x v="0"/>
    <x v="0"/>
    <x v="0"/>
    <s v="XGBoost"/>
    <s v="predict network latency to enhanced deadline compliance"/>
    <n v="1"/>
  </r>
  <r>
    <x v="4"/>
    <s v="Baresi, Luciano; Hu, Davide Yi Xian; Quattrocchi, Giovanni; Terracciano, Luca"/>
    <s v="NEPTUNE: A Comprehensive Framework for Managing Serverless Functions at the Edge"/>
    <s v="Applications that are constrained by low-latency requirements can hardly be executed on cloud infrastructures, given the high network delay required to reach remote servers. Multi-access Edge Computing (MEC) is the reference architecture for executing applications on nodes that are located close to users (i.e., at the edge of the network). This way, the network overhead is reduced but new challenges emerge. The resources available on edge nodes are limited, workloads fluctuate since users can rapidly change location, and complex tasks are becoming widespread (e.g., machine learning inference). To address these issues, this article presents NEPTUNE, a serverless-based framework that automates the management of large-scale MEC infrastructures. In particular, NEPTUNE provides (i) the placement of serverless functions on MEC nodes according to users’ location, (ii) the resolution of resource contention scenarios by avoiding that single nodes be saturated, and (iii) the dynamic allocation of CPUs and GPUs to meet foreseen execution times. To assess NEPTUNE, we built a prototype based on K3S, an edge-dedicated version of Kubernetes, and executed a comprehensive set of experiments. Results show that NEPTUNE obtains a significant reduction in terms of response time, network overhead, and resource consumption compared with five state-of-the-art solutions."/>
    <s v="Place: New York, NY, USA Publisher: Association for Computing Machinery"/>
    <s v="ACM"/>
    <s v="ML"/>
    <n v="0"/>
    <x v="0"/>
    <x v="0"/>
    <x v="1"/>
    <x v="1"/>
    <x v="0"/>
    <x v="0"/>
    <s v="NEPTUNE"/>
    <s v="a significant reduction in terms of response time, network overhead, and resource consumption"/>
    <n v="1"/>
  </r>
  <r>
    <x v="4"/>
    <s v="Datta, Somoshree; Addya, Sourav Kanti; Ghosh, Soumya K."/>
    <s v="ESMA: Towards elevating system happiness in a decentralized serverless edge computing framework"/>
    <s v="Due to the rapid growth in the adoption of numerous technologies, such as smartphones and the Internet of Things (IoT), edge and serverless computing have started gaining momentum in today's computing infrastructure. It has led to the production of huge amounts of data and has also resulted in increased network traffic, which if not managed well can cause network congestion. To address this and maintain the quality of service (QoS), in this work, a novel dispatch (destination selection) algorithm called Egalitarian Stable Matching Algorithm (ESMA) for faster data processing has been developed while also considering the best use of server resources in a decentralized Serverless-Edge environment. This will allow us to effectively utilize the enormous volumes of data that are generated. The proposed algorithm has been able to achieve lower overall dissatisfaction scores for the entire system. Individually, the client's happiness as well as the server's happiness have improved over the baseline. Moreover, there has been a drop of 25.7% in the total execution time and the total network resources consumed are lower as compared to the baseline algorithm as well as random-allocation algorithm."/>
    <s v="Journal of Parallel and Distributed Computing"/>
    <s v="Science Direct"/>
    <s v="IoT/ edge computing"/>
    <n v="0"/>
    <x v="0"/>
    <x v="0"/>
    <x v="1"/>
    <x v="1"/>
    <x v="1"/>
    <x v="0"/>
    <s v="(ESMA) Egalitarian Stable Matching Algorithm "/>
    <s v=" client's happiness as well as the server's happiness have improved over the baseline/ reduce execution time and the total network resources consumed "/>
    <n v="1"/>
  </r>
  <r>
    <x v="4"/>
    <s v="Mirampalli S.; Wankar R.; Srirama S.N."/>
    <s v="Evaluating NiFi and MQTT based serverless data pipelines in fog computing environments"/>
    <s v="Recent advancements in Internet of Things (IoT) technology have driven massive amounts of raw data. Due to the hardware limitations of the constraint IoT environments, we cannot fully perform all data analytical tasks in the local environment. In contrast, data transferring, storing, and processing in the cloud suffer from cloud cost, latency and security issues. In this context, we require a multi-layer data processing environment to balance all these issues. Data pipeline concepts allow data processing between source and destination on multiple fog devices. On the other hand, IoT applications are event-driven. So, building these apps in a serverless computing manner minimizes operational and billing costs. Moreover, this provides flexibility to deploy tasks anywhere, irrespective of the underlying operating system. In this paper, we investigated two serverless data pipeline approaches designed with Message Queuing Telemetry Transport (MQTT) and Apache NiFi. Our proposed approaches were tested with the image streaming data, where we performed object detection in the images. Our experimental results compared these two approaches regarding pipeline execution time, memory and CPU usage. The results conclude that the Apache NiFi-based serverless data pipeline consumes more CPU than MQTT-based serverless data pipeline, however outperforms it in terms of execution time and memory utilization. © 2023 Elsevier B.V."/>
    <s v="Final"/>
    <s v="Scopus"/>
    <s v="IoT /serverless computing"/>
    <n v="0"/>
    <x v="0"/>
    <x v="0"/>
    <x v="1"/>
    <x v="1"/>
    <x v="1"/>
    <x v="0"/>
    <s v="(MQTT) Message Queuing Telemetry Transport"/>
    <s v="improve execution time in pipeline memory and CPU usage"/>
    <n v="1"/>
  </r>
  <r>
    <x v="4"/>
    <s v="T. Larcher; P. Gritsch; S. Nastic; S. Ristov"/>
    <s v="BaaSLess: Backend-as-a-Service (BaaS)-Enabled Workflows in Federated Serverless Infrastructures"/>
    <s v="Serverless is a popular paradigm for expressing compute-intensive applications as serverless workflows. In practice, a significant portion of the computing is typically offloaded to various Backend-as-a-Service (BaaS) cloud services. The recent rise of federated serverless and Sky computing offers cost and performance advantages for these BaaS-enabled serverless workflows. However, due to vendor lock-in and lack of service interoperability, many challenges remain that impact the development, deployment, and scheduling of BaaS-enabled serverless workflows in federated serverless infrastructures. This paper introduces BaaSLess â€“ a novel platform that delivers global and dynamic federated BaaS to serverless workflows. BaaSLess provides: i) a novel SDK for uniform and dynamic access to federated BaaS services, reducing the complexity associated with the development of BaaS-enabled serverless workflows, ii) a novel globally-federated serverless BaaS framework that delivers a suite of BaaS-less ML services, including text-to-speech, speech-to-text, translation, and OCR, together with a globally-federated storage infrastructure, comprising AWS and Google cloud providers, and iii) a novel model and an algorithm for scheduling BaaS-enabled serverless workflows to improve their performance. Experimental results using three complementary BaaS-enabled serverless workflows show that BaaSLess improves workflow execution time by up to $2.95\times$2.95Ã— compared to the state-of-the-art serverless schedulers, often at a lower cost."/>
    <s v="Final"/>
    <s v="IEEE Journals"/>
    <s v="BaaS / ML"/>
    <n v="0"/>
    <x v="0"/>
    <x v="0"/>
    <x v="0"/>
    <x v="0"/>
    <x v="1"/>
    <x v="0"/>
    <s v="BAASLESS: Backend-as-a-Service"/>
    <s v="improves workflow execution time "/>
    <n v="1"/>
  </r>
  <r>
    <x v="5"/>
    <s v="J. R. Corporan; A. Bahga; V. K. Madisetti"/>
    <s v="Function Delivery Network: A Spatial-Temporal Execution Orchestrator for Optimizing Serverless Computing"/>
    <s v="We present Function Delivery Network (FDN), a novel spatial-temporal execution orchestrator designed to address key limitations in current serverless computing models. The FDN introduces several innovations, including a multi-tenant serverless model, a secure and reusable functional context, and distributed shared memory, to optimize resource allocation and improve performance in high-concurrency and globally distributed scenarios. We implement the FDN on a major cloud platform and evaluate its performance against traditional Function-as-a-Service (FaaS) execution using a variety of benchmark functions. Our results demonstrate significant improvements in resource utilization, execution time, and request completion rates. The FDN reduces function instance allocation by up to 97.82%, improves median response times by 45.45%, and maintains higher request completion rates at high concurrency levels compared to native FaaS execution. The FDNâ€™s adaptive execution window mechanism allows for fine-tuned optimization based on function characteristics and workload patterns. This approach effectively addresses challenges such as cold starts, inefficient resource allocation, and scalability limitations in current serverless platforms. By providing a more efficient and scalable model for serverless computing, the FDN enables more cost-effective and performant cloud-native applications, particularly in scenarios involving high concurrency and global distribution."/>
    <s v="Final"/>
    <s v="IEEE Journals"/>
    <s v="Serverless computing"/>
    <n v="0"/>
    <x v="0"/>
    <x v="1"/>
    <x v="0"/>
    <x v="1"/>
    <x v="0"/>
    <x v="0"/>
    <s v=" (FDN) Function Delivery Network"/>
    <s v="improvements in resource utilization, execution time, and request completion rates"/>
    <n v="1"/>
  </r>
  <r>
    <x v="5"/>
    <s v="Shahin, Mahtab; Rahimpour, Saeed; Ghasempouri, Tara; Bauk, Sanja; Fahringer, Thomas; Draheim, Dirk"/>
    <s v="Towards Smarter Maritime Security: Apriori Algorithm Optimization in Serverless Environments"/>
    <s v="This paper presents an optimized implementation of the Apriori algorithm tailored for large-scale data mining in cloud-native, serverless environments, utilizing real-world fuel datasets. Our approach achieves a 28% reduction in execution time and a 22% decrease in memory consumption compared to traditional distributed Apriori methods. The study leverages high-dimensional fuel datasets, spanning from 2020 to 2050, to evaluate scalability and efficiency in processing energy-related data. By employing advanced synchronization and deferred partitioning strategies, communication overhead is significantly reduced, improving performance while effectively balancing computational loads across distributed nodes. Security measures, including AES-256 encryption and role-based access control (RBAC), are incorporated to safeguard data confidentiality and ensure compliance with regulatory frameworks. The proposed solution scales efficiently for datasets up to 1 million records, demonstrating applicability across domains such as transportation and logistics. Future work will explore adaptive partitioning techniques, hybrid cloud architectures, and AI-driven predictive analytics to further enhance scalability and operational efficiency in serverless multi-cloud systems."/>
    <s v="Procedia Computer Science"/>
    <s v="Science Direct"/>
    <s v="security in serverless cloud"/>
    <n v="0"/>
    <x v="0"/>
    <x v="0"/>
    <x v="0"/>
    <x v="0"/>
    <x v="0"/>
    <x v="0"/>
    <s v="AES-256 encryption and role-based access control (RBAC)"/>
    <s v="enhance scalability and operational efficiency"/>
    <n v="1"/>
  </r>
  <r>
    <x v="5"/>
    <s v="Sala R.; Guindani B.; Galimberti E.; Filippini F.; Sedghani H.; Ardagna D.; Risco S.; Moltó G.; Caballer M."/>
    <s v="OSCAR-P and aMLLibrary: Profiling and predicting the performance of FaaS-based applications in computing continua"/>
    <s v="This paper proposes an automated framework for efficient application profiling and training of Machine Learning (ML) performance models, composed of two parts: OSCAR-P and aMLLibrary. OSCAR-P is an auto-profiling tool designed to automatically test serverless application workflows running on multiple hardware and node combinations in cloud and edge environments. OSCAR-P obtains relevant profiling information on the execution time of the individual application components. These data are later used by aMLLibrary to train ML-based performance models. This makes it possible to predict the performance of applications on unseen configurations. We test our framework on clusters with different architectures (x86 and arm64) and workloads, considering multi-component use-case applications. This extensive experimental campaign proves the efficiency of OSCAR-P and aMLLibrary, significantly reducing the time needed for the application profiling, data collection, and data processing. The preliminary results obtained on the ML performance models accuracy show a Mean Absolute Percentage Error lower than 30% in all the considered scenarios. © 2024 The Authors"/>
    <s v="Final"/>
    <s v="Scopus"/>
    <s v="ML"/>
    <n v="0"/>
    <x v="0"/>
    <x v="0"/>
    <x v="0"/>
    <x v="1"/>
    <x v="0"/>
    <x v="0"/>
    <s v="OSCAR-P and aMLLibrary"/>
    <s v="reducing the time needed for the application profiling, data collection, and data processing"/>
    <n v="1"/>
  </r>
  <r>
    <x v="5"/>
    <s v="Poojara, Shivananda; Jakovits, Pelle; Buyya, Rajkumar; Srirama, Satish Narayana"/>
    <s v="Scaling Approaches for Serverless Data Pipelines in Edge and Fog Computing Environments: A Performance Evaluation"/>
    <s v="The rise of Internet of Things (IoT) applications has led to massive data generation. However, dealing with such massive data is challenging. Nowadays, data pipelines are popular mechanisms used to properly deal with data operations at scale in the IoT continuum. Serverless data pipelines (SDP) are one such approach to performing event-driven data analysis on data streams. Data pipelines are composed of many components, and scaling the entire pipeline without leaving any bottlenecks is challenging. This study aims to assess the performance of scaling mechanisms in handling stochastic workloads efficiently and understanding critical resource utilization in fog environments. We applied workload-based techniques (Request per Second, Queue Length, Message Rate) and resource-based scaling (CPU) on SDP components of two IoT applications: Aeneas (long-running functions) and PuhatuMonitoring (short-running functions). Using Azure serverless workload patterns, we compared scaling approaches in real-time fog environments, evaluating QoS metrics like processing time and CPU utilization. Our analysis of suitability, using the weighted average scoring method on two QoS metrics, revealed that for compute-intensive tasks, the resource-based scaling approach works effectively for jump, steady, spike, and fluctuation workloads. For short execution time tasks, workload-based scaling suits all four workloads."/>
    <s v="Place: New York, NY, USA Publisher: Association for Computing Machinery"/>
    <s v="ACM"/>
    <s v="IoT"/>
    <n v="0"/>
    <x v="0"/>
    <x v="0"/>
    <x v="0"/>
    <x v="1"/>
    <x v="0"/>
    <x v="0"/>
    <s v="Aeneas (long-running functions) and PuhatuMonitoring (short-running functions)"/>
    <s v="improve execution time tasks,and workload-based"/>
    <n v="1"/>
  </r>
  <r>
    <x v="5"/>
    <s v="Huang X.; Gu R.; Huang Y."/>
    <s v="Towards Efficient Serverless MapReduce Computing on Cloud-Native Platforms"/>
    <s v="MapReduce is one of the most classic and powerful parallel computing models in the field of big data. It is still active in the big data system ecosystem and is currently evolving towards cloud-native environment. Among them, due to its elasticity and ease-to-use, Serverless computing is one of the most promising directions of cloud-native technology. To support MapReduce big data computing capabilities in a Serverless environment can give full play to Serverless's advantages. However, due to different underlying system architecture, three issues will be encountered when running MapReduce jobs in the Serverless environment. Firstly, the scheduling strategy is difficult to fully utilize the available resources. Secondly, reading Shuffle index data on cloud storage is inefficient and expensive. Thirdly, cloud storage Input/Output (I/O) request latency has a long tail effect. To solve these problems, this paper proposes three strategies with a MapReduce parallel processing framework in Serverless environment. Experimental results show that compared with cutting-edge systems, our approach shortens job execution time by 25.6% on average and reduces job execution costs by 17.3%. © 2018 Tsinghua University Press."/>
    <s v="Final"/>
    <s v="Scopus"/>
    <s v="big data"/>
    <n v="0"/>
    <x v="0"/>
    <x v="0"/>
    <x v="1"/>
    <x v="0"/>
    <x v="1"/>
    <x v="0"/>
    <s v="MapReduce  parallel processing framework"/>
    <s v=" shortens job execution time and reduces job execution costs "/>
    <n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Sen R.; Jindal A.; Patel H.; Qiao S."/>
    <s v="AutoToken: Predicting Peak Parallelism for Big Data Analytics at Microsoft"/>
    <s v="Right-sizing resource allocation for big-data queries, particularly in serverless environments, is critical for improving infrastructure operational efficiency, capacity availability, query performance predictability, and for reducing unnecessary wait times. In this paper, we present AutoToken — a simple and effective predictor for estimating the peak resource usage of recurring big data queries. It uses multiple query plan identifiers to identify recurring query templates and to learn models with the goal of reducing over-allocation in future instances of those queries. AutoToken is computationally light, for both training and scoring, is easily deployable at scale, and is integrated with the Peregrine workload optimization infrastructure at Microsoft. We extensively evaluate AutoToken on SCOPE jobs from our production clusters and show that it outperforms state-of-the-art solutions for peak resource estimation. We also discuss our plans towards supporting repeatable and extensible research on resource prediction for SCOPE jobs, including describing a simulation methodology for generating arbitrary-sized datasets with similar characteristics as the production datasets. © VLDB Endowment. All rights reserved."/>
    <s v="Final"/>
    <s v="Scopus"/>
    <s v="Big data on Serverless platform"/>
    <n v="0"/>
    <x v="0"/>
    <x v="0"/>
    <x v="0"/>
    <x v="0"/>
    <x v="0"/>
    <x v="0"/>
    <s v="AutoToken"/>
    <s v="reducing unnecessary wait times / reducing over-allocation"/>
    <n v="1"/>
  </r>
  <r>
    <x v="1"/>
    <s v="Arjona, Aitor; López, Pedro García; Sampé, Josep; Slominski, Aleksander; Villard, Lionel"/>
    <s v="Triggerflow: Trigger-based orchestration of serverless workflows"/>
    <s v="As more applications are being moved to the Cloud thanks to serverless computing, it is increasingly necessary to support the native life cycle execution of those applications in the data center. But existing cloud orchestration systems either focus on short-running workflows (like IBM Composer or Amazon Step Functions Express Workflows) or impose considerable overheads for synchronizing massively parallel jobs (Azure Durable Functions, Amazon Step Functions). None of them are open systems enabling extensible interception and optimization of custom workflows. We present Triggerflow: an extensible Trigger-based Orchestration architecture for serverless workflows. We demonstrate that Triggerflow is a novel serverless building block capable of constructing different reactive orchestrators (State Machines, Directed Acyclic Graphs, Workflow as code, Federated Learning orchestrator). We also validate that it can support high-volume event processing workloads, auto-scale on demand with scale down to zero when not used, and transparently guarantee fault tolerance and efficient resource usage when orchestrating long running scientific workflows."/>
    <s v="Future Generation Computer Systems"/>
    <s v="Science Direct"/>
    <s v="serverless computing model"/>
    <s v="workload balancing /overhead parallel jobs"/>
    <x v="0"/>
    <x v="0"/>
    <x v="1"/>
    <x v="0"/>
    <x v="0"/>
    <x v="0"/>
    <s v="Triggerflow: an extensible Trigger-based Orchestration architecture for serverless workflows"/>
    <s v="support high-volume event processing workloads"/>
    <n v="1"/>
  </r>
  <r>
    <x v="1"/>
    <s v="Rausch T.; Rashed A.; Dustdar S."/>
    <s v="Optimized container scheduling for data-intensive serverless edge computing"/>
    <s v="Operating data-intensive applications on edge systems is challenging, due to the extreme workload and device heterogeneity, as well as the geographic dispersion of compute and storage infrastructure. Serverless computing has emerged as a compelling model to manage the complexity of such systems, by decoupling the underlying infrastructure and scaling mechanisms from applications. Although serverless platforms have reached a high level of maturity, we have found several limiting factors that inhibit their use in an edge setting. This paper presents a container scheduling system that enables such platforms to make efficient use of edge infrastructures. Our scheduler makes heuristic trade-offs between data and computation movement, and considers workload-specific compute requirements such as GPU acceleration. Furthermore, we present a method to automatically fine-tune the weights of scheduling constraints to optimize high-level operational objectives such as minimizing task execution time, uplink usage, or cloud execution cost. We implement a prototype that targets the container orchestration system Kubernetes, and deploy it on an edge testbed we have built. We evaluate our system with trace-driven simulations in different infrastructure scenarios, using traces generated from running representative workloads on our testbed. Our results show that (a) our scheduler significantly improves the quality of task placement compared to the state-of-the-art scheduler of Kubernetes, and (b) our method for fine-tuning scheduling parameters helps significantly in meeting operational goals. © 2020"/>
    <s v="Final"/>
    <s v="Scopus"/>
    <s v="serverless computing model"/>
    <s v="task execution time/ cloud execution cost/"/>
    <x v="1"/>
    <x v="0"/>
    <x v="0"/>
    <x v="0"/>
    <x v="0"/>
    <x v="0"/>
    <s v="container scheduling system "/>
    <s v="improves the quality of task placement"/>
    <n v="1"/>
  </r>
  <r>
    <x v="2"/>
    <s v="Mahgoub, A; Yi, EB; Shankar, K; Minocha, E; Elnikety, S; Bagchi, S; Chaterji, S"/>
    <s v="WiseFuse: Workload Characterization and DAG Transformation for ServerlessWorkflows"/>
    <s v="We characterize production workloads of serverless DAGs at a major cloud provider. Our analysis highlights two major factors that limit performance: (a) lack of efficient communication methods between the serverless functions in the DAG, and (b) stragglers when a DAG stage invokes a set of parallel functions that must complete before starting the next DAG stage. To address these limitations, we propose WiseFuse, an automated approach to generate an optimized execution plan for serverless DAGs for a user-specified latency objective (SLO) or cost budget. We introduce three optimizations: (1) Fusion combines in-series functions together in a single VM to reduce the communication overhead between cascaded functions. (2) Bundling executes a group of parallel invocations of a function in one VM to improve resource sharing among the parallel invocations to reduce skew. (3) Resource Allocation assigns the right size to each VM hosting a function or a group of functions to reduce the latency and cost of invoking the serverless DAG. We implement WiseFuse and evaluate it experimentally using three serverless applications, namely, Video Analytics, Approximate SVD, and ML Analytics, which span different DAG structures, memory footprints, and intermediate data sizes. In comparison to competing approaches, WiseFuse shows significant improvements in E2E latency and cost. Specifically, for the ML pipeline, WiseFuse achieves a P95 latency that is 67% lower than Photons [SoCC-20], 39% lower than Faastlane [USENIX ATC-21], and 90% lower than Sonic [USENIX ATC-21], without increasing the $ cost."/>
    <s v="Final"/>
    <s v="Web of Science"/>
    <s v="serverless DAG"/>
    <n v="0"/>
    <x v="0"/>
    <x v="0"/>
    <x v="1"/>
    <x v="0"/>
    <x v="1"/>
    <x v="0"/>
    <s v=" WiseFuse "/>
    <s v=" reduce the communication overhead between cascaded functions"/>
    <n v="1"/>
  </r>
  <r>
    <x v="2"/>
    <s v="Poojara S.R.; Dehury C.K.; Jakovits P.; Srirama S.N."/>
    <s v="Serverless data pipeline approaches for IoT data in fog and cloud computing"/>
    <s v="With the increasing number of Internet of Things (IoT) devices, massive amounts of raw data is being generated. The latency, cost, and other challenges in cloud-based IoT data processing have driven the adoption of Edge and Fog computing models, where some data processing tasks are moved closer to data sources. Properly dealing with the flow of such data requires building data pipelines, to control the complete life cycle of data streams from data acquisition at the data source, edge and fog processing, to Cloud side storage and analytics. Data analytics tasks need to be executed dynamically at different distances from the data sources and often on very heterogeneous hardware devices. This can be streamlined by the use of a Serverless (or FaaS) cloud computing model, where tasks are defined as virtual functions, which can be migrated from edge to cloud (and vice versa) and executed in an event-driven manner on data streams. In this work, we investigate the benefits of building Serverless data pipelines (SDP) for IoT data analytics and evaluate three different approaches for designing SDPs: (1) Off-the-shelf data flow tool (DFT) based, (2) Object storage service (OSS) based and (3) MQTT based. Further, we applied these strategies on three fog applications (Aeneas, PocketSphinx, and custom Video processing application) and evaluated the performance by comparing their processing time (computation time, network communication and disk access time), and resource utilization. Results show that DFT is unsuitable for compute-intensive applications such as video or image processing, whereas OSS is best suitable for this task. However, DFT is nicely fit for bandwidth-intensive applications due to the minimum use of network resources. On the other hand, MQTT-based SDP is observed with increase in CPU and Memory usage as the number of users rose, and experienced a drop in data units in the pipeline for PocketSphinx and custom video processing applications, however it performed well for Aeneas which had low size data units. © 2021 Elsevier B.V."/>
    <s v="Final"/>
    <s v="Scopus"/>
    <s v="IoT / Fog computing"/>
    <n v="0"/>
    <x v="0"/>
    <x v="0"/>
    <x v="0"/>
    <x v="0"/>
    <x v="0"/>
    <x v="0"/>
    <s v="comparitive study for data flow tool (DFT)-Object storage service (OSS)-MQTT"/>
    <m/>
    <n v="1"/>
  </r>
  <r>
    <x v="3"/>
    <s v="Svingos, Christoforos; Hernich, Andre; Gildhoff, Hinnerk; Papakonstantinou, Yannis; Ioannidis, Yannis"/>
    <s v="Foreign Keys Open the Door for Faster Incremental View Maintenance"/>
    <s v="Serverless cloud-based warehousing systems enable users to create materialized views in order to speed up predictable and repeated query workloads. Incremental view maintenance (IVM) minimizes the time needed to bring a materialized view up-to-date. It allows the refresh of a materialized view solely based on the base table changes since the last refresh. In serverless cloud-based warehouses, IVM uses computations defined as SQL scripts that update the materialized view based on updates to its base tables. However, the scripts set up for materialized views with inner joins are not optimal in the presence of foreign key constraints. For instance, for a join of two tables, the state of the art IVM computations use a UNION ALL operator of two joins - one computing the contributions to the join from updates to the first table and the other one computing the remaining contributions from the second table. Knowing that one of the join keys is a foreign-key would allow us to prune all but one of the UNION ALL branches and obtain a more efficient IVM script. In this work, we explore ways of incorporating knowledge about foreign key into IVM in order to speed up its performance. Experiments in Redshift showed that the proposed technique improved the execution times of the whole refresh process up to 2 times, and up to 2.7 times the process of calculating the necessary changes that will be applied into the materialized view."/>
    <s v="Place: New York, NY, USA Publisher: Association for Computing Machinery"/>
    <s v="ACM"/>
    <s v="Serverless computing"/>
    <n v="0"/>
    <x v="1"/>
    <x v="0"/>
    <x v="0"/>
    <x v="0"/>
    <x v="0"/>
    <x v="0"/>
    <s v="Incremental view maintenance (IVM)"/>
    <s v="improved the execution times"/>
    <n v="1"/>
  </r>
  <r>
    <x v="3"/>
    <s v="Bian, Haoqiong; Sha, Tiannan; Ailamaki, Anastasia"/>
    <s v="Using Cloud Functions as Accelerator for Elastic Data Analytics"/>
    <s v="Cloud function (CF) services, such as AWS Lambda, have been applied as the new computing infrastructure in implementing analytical query engines. For bursty and sparse workloads, CF-based query engine is more elastic than the traditional query engines running in servers, i.e., virtual machines (VMs), and might provide a higher performance/price ratio. However, it is still controversial whether CF services are good suites for general analytical workloads, in respect of the limitations of CFs in storage, network, and lifetime, as well as the much higher resource unit prices than VMs.In this paper, we first present micro-benchmark evaluations of the features of CF and VM. We reveal that for query processing, though CF is more elastic than VM, it is less scalable and is more expensive for continuous workloads. Then, to get the best of both worlds, we propose Pixels-Turbo - a hybrid query engine that processes queries in a scalable VM cluster by default and invokes CFs to accelerate the processing of unpredictable workload spikes. In the query engine, we propose several optimizations to improve the performance and scalability of the CF-based operators and a cost-based optimizer to select the appropriate algorithm and parallelism for the physical query plan. Evaluations on TPC-H and real-world workload show that our query engine has a 1-2 orders of magnitude higher performance/price ratio than state-of-the-art serverless query engines for sustained workloads while not compromising the elasticity for workload spikes."/>
    <s v="Place: New York, NY, USA Publisher: Association for Computing Machinery"/>
    <s v="ACM"/>
    <s v="Cloud function (CF)"/>
    <n v="0"/>
    <x v="0"/>
    <x v="0"/>
    <x v="0"/>
    <x v="0"/>
    <x v="1"/>
    <x v="0"/>
    <s v="Micro-benchmark evaluations of the features of CF and VM"/>
    <s v="Improve performance and scalability of the CF-based operators and a cost-based optimizer "/>
    <n v="1"/>
  </r>
  <r>
    <x v="4"/>
    <s v="Baresi, Luciano; Hu, Davide Yi Xian; Quattrocchi, Giovanni; Terracciano, Luca"/>
    <s v="NEPTUNE: A Comprehensive Framework for Managing Serverless Functions at the Edge"/>
    <s v="Applications that are constrained by low-latency requirements can hardly be executed on cloud infrastructures, given the high network delay required to reach remote servers. Multi-access Edge Computing (MEC) is the reference architecture for executing applications on nodes that are located close to users (i.e., at the edge of the network). This way, the network overhead is reduced but new challenges emerge. The resources available on edge nodes are limited, workloads fluctuate since users can rapidly change location, and complex tasks are becoming widespread (e.g., machine learning inference). To address these issues, this article presents NEPTUNE, a serverless-based framework that automates the management of large-scale MEC infrastructures. In particular, NEPTUNE provides (i) the placement of serverless functions on MEC nodes according to users’ location, (ii) the resolution of resource contention scenarios by avoiding that single nodes be saturated, and (iii) the dynamic allocation of CPUs and GPUs to meet foreseen execution times. To assess NEPTUNE, we built a prototype based on K3S, an edge-dedicated version of Kubernetes, and executed a comprehensive set of experiments. Results show that NEPTUNE obtains a significant reduction in terms of response time, network overhead, and resource consumption compared with five state-of-the-art solutions."/>
    <s v="Place: New York, NY, USA Publisher: Association for Computing Machinery"/>
    <s v="ACM"/>
    <s v="ML"/>
    <n v="0"/>
    <x v="1"/>
    <x v="0"/>
    <x v="1"/>
    <x v="0"/>
    <x v="0"/>
    <x v="0"/>
    <s v="NEPTUNE"/>
    <s v="a significant reduction in terms of response time, network overhead, and resource consumption"/>
    <n v="1"/>
  </r>
  <r>
    <x v="4"/>
    <s v="Datta, Somoshree; Addya, Sourav Kanti; Ghosh, Soumya K."/>
    <s v="ESMA: Towards elevating system happiness in a decentralized serverless edge computing framework"/>
    <s v="Due to the rapid growth in the adoption of numerous technologies, such as smartphones and the Internet of Things (IoT), edge and serverless computing have started gaining momentum in today's computing infrastructure. It has led to the production of huge amounts of data and has also resulted in increased network traffic, which if not managed well can cause network congestion. To address this and maintain the quality of service (QoS), in this work, a novel dispatch (destination selection) algorithm called Egalitarian Stable Matching Algorithm (ESMA) for faster data processing has been developed while also considering the best use of server resources in a decentralized Serverless-Edge environment. This will allow us to effectively utilize the enormous volumes of data that are generated. The proposed algorithm has been able to achieve lower overall dissatisfaction scores for the entire system. Individually, the client's happiness as well as the server's happiness have improved over the baseline. Moreover, there has been a drop of 25.7% in the total execution time and the total network resources consumed are lower as compared to the baseline algorithm as well as random-allocation algorithm."/>
    <s v="Journal of Parallel and Distributed Computing"/>
    <s v="Science Direct"/>
    <s v="IoT/ edge computing"/>
    <n v="0"/>
    <x v="1"/>
    <x v="0"/>
    <x v="1"/>
    <x v="0"/>
    <x v="1"/>
    <x v="0"/>
    <s v="(ESMA) Egalitarian Stable Matching Algorithm "/>
    <s v=" client's happiness as well as the server's happiness have improved over the baseline/ reduce execution time and the total network resources consumed "/>
    <n v="1"/>
  </r>
  <r>
    <x v="4"/>
    <s v="Mirampalli S.; Wankar R.; Srirama S.N."/>
    <s v="Evaluating NiFi and MQTT based serverless data pipelines in fog computing environments"/>
    <s v="Recent advancements in Internet of Things (IoT) technology have driven massive amounts of raw data. Due to the hardware limitations of the constraint IoT environments, we cannot fully perform all data analytical tasks in the local environment. In contrast, data transferring, storing, and processing in the cloud suffer from cloud cost, latency and security issues. In this context, we require a multi-layer data processing environment to balance all these issues. Data pipeline concepts allow data processing between source and destination on multiple fog devices. On the other hand, IoT applications are event-driven. So, building these apps in a serverless computing manner minimizes operational and billing costs. Moreover, this provides flexibility to deploy tasks anywhere, irrespective of the underlying operating system. In this paper, we investigated two serverless data pipeline approaches designed with Message Queuing Telemetry Transport (MQTT) and Apache NiFi. Our proposed approaches were tested with the image streaming data, where we performed object detection in the images. Our experimental results compared these two approaches regarding pipeline execution time, memory and CPU usage. The results conclude that the Apache NiFi-based serverless data pipeline consumes more CPU than MQTT-based serverless data pipeline, however outperforms it in terms of execution time and memory utilization. © 2023 Elsevier B.V."/>
    <s v="Final"/>
    <s v="Scopus"/>
    <s v="IoT /serverless computing"/>
    <n v="0"/>
    <x v="1"/>
    <x v="0"/>
    <x v="1"/>
    <x v="0"/>
    <x v="1"/>
    <x v="0"/>
    <s v="(MQTT) Message Queuing Telemetry Transport"/>
    <s v="improve execution time in pipeline memory and CPU usage"/>
    <n v="1"/>
  </r>
  <r>
    <x v="4"/>
    <s v="Karim S.; Qureshi K.N.; Ibrahim A.O.; Abulfaraj A.W.; Ghafoor K.Z."/>
    <s v="Enhanced centroid-based energy-efficient clustering routing protocol for serverless based wireless sensor networks"/>
    <s v="Serverless computing is a new concept as cloud computing, which dynamically manages the networks and is applied in Serverless Wireless Sensor Networks (SWSN) to help the networks. These networks are becoming famous for monitoring various physical and environmental factors. Serverless computing also facilitates the networks by offering an extensive range of applications. Different applications have been designed for monitoring purposes where the sensor nodes sense the data and transmit it to the base station through single or multi-hop routing. However, existing routing protocols cannot manage the sensor nodes’ energy issues because of the complex routing processes and depleted their power before their time. Because of these limitations, the nodes close to BS continuously rely on the network for data forwarding. As a result, these nodes cause energy consumption and lead to a useless state. This paper proposes a serverless architecture and designs an Enhanced Centroid-based Energy Efficient Clustering (ECEEC) protocol for SWSN networks. The proposed serverless architecture provides automated scalability, cost-effective services, and stateless execution. In addition, the proposed protocol offers the cluster head selection and its rotation to maximize the energy efficiency in the network. Furthermore, gateway nodes are chosen in every cluster to overcome the load on the cluster head. Simulation results indicated the excellent performance of the proposed protocol as compared to the existing routing protocols concerning network lifetime and energy consumption. The proposed protocol shows better reliability with nodes failing at 650 rounds compared to 600 rounds, especially with 5 % and 10 % Cluster Heads. The proposed protocol exhibits superior energy efficiency consumption of SNs under varying CH percentages, indicating the protocol's consistent performance across different scenarios. © 2024 The Author(s)"/>
    <s v="Final"/>
    <s v="Scopus"/>
    <s v="Serverless computing"/>
    <n v="0"/>
    <x v="0"/>
    <x v="0"/>
    <x v="1"/>
    <x v="0"/>
    <x v="1"/>
    <x v="1"/>
    <s v="(ECEEC) Enhanced Centroid-based Energy Efficient Clustering "/>
    <s v="better reliability, superior energy efficiency consumption of SNs under varying CH percentages"/>
    <n v="1"/>
  </r>
  <r>
    <x v="4"/>
    <s v="Sahaya Sakila V.; Manohar S."/>
    <s v="Real-time air quality monitoring in Bull Trench Kiln-based Brick industry by calibrating sensor readings and utilizing the Serverless Computing"/>
    <s v="Bull Trench Kiln-based Brick industries are major contributors of Particulate Matter Pollutants (PM2.5 and PM10), which leads to deterioration of air quality, and hence needs to be monitored. As the static air monitoring stations require huge infrastructure and are sparsely located, it is necessary to find alternate ways using recent technologies like IoT, Machine Learning, and Serverless Computing. IoT devices being low cost and portable could be deployed near brick industries, however, they are sensitive to fluctuating ambient air temperature or humidity and hence have to be calibrated and there is a need for powerful back-end infrastructures for storage and analyses of data. The existing approach of transmitting IoT-based data to the cloud is time-consuming, energy inefficient, prone to scaling problems, has poor resource utilization, and is expensive. In this study, the IoT data are calibrated using ML Classifier algorithms and an Automatic Function Triggerer - Function-as-a-Service (AFT-FaaS) method is proposed, which is based on event-driven, Serverless method using AWS Lambda along with the Three-Tier Serverless architecture (Edge Tier, Fog Tire, and Cloud Tier) to deal with the challenges of delay, under-resource allocation, and to reduce the expenditures. The data transmitted to the cloud using the proposed AFT-FaaS method are indexed in ElasticSearch and Kibana is used for the analysis and visualization of data. While performing calibration, Random Forest Classifier was chosen as it had accuracy of above 98%. Finally, an in-depth pricing analysis is performed to better understand the difference between different configurations deployed for Serverless and non-Serverless Computing methods, which shows there is a significant reduction (7 times) of expenses incurred while using Serverless Computing than the non-Serverless Computing methods. © 2023 Elsevier Ltd"/>
    <s v="Final"/>
    <s v="Scopus"/>
    <s v="ML /IoT/Edge/fog"/>
    <n v="0"/>
    <x v="0"/>
    <x v="0"/>
    <x v="1"/>
    <x v="0"/>
    <x v="1"/>
    <x v="0"/>
    <s v="(AFT-FaaS)  Automatic Function Triggerer - Function-as-a-Service"/>
    <s v="Improve delay, under-resource allocation, and to reduce the expenditures"/>
    <n v="1"/>
  </r>
  <r>
    <x v="4"/>
    <s v="Wang Z.; Goudarzi M.; Gong M.; Buyya R."/>
    <s v="Deep Reinforcement Learning-based scheduling for optimizing system load and response time in edge and fog computing environments"/>
    <s v="Edge/fog computing, as a distributed computing paradigm, satisfies the low-latency requirements of ever-increasing number of IoT applications and has become the mainstream computing paradigm behind IoT applications. However, because large number of IoT applications require execution on the edge/fog resources, the servers may be overloaded. Hence, it may disrupt the edge/fog servers and also negatively affect IoT applications’ response time. Moreover, many IoT applications are composed of dependent components incurring extra constraints for their execution. Besides, edge/fog computing environments and IoT applications are inherently dynamic and stochastic. Thus, efficient and adaptive scheduling of IoT applications in heterogeneous edge/fog computing environments is of paramount importance. However, limited computational resources on edge/fog servers imposes an extra burden for applying optimal but computationally demanding techniques. To overcome these challenges, we propose a Deep Reinforcement Learning-based IoT application Scheduling algorithm, called DRLIS to adaptively and efficiently optimize the response time of heterogeneous IoT applications and balance the load of the edge/fog servers. We implemented DRLIS as a practical scheduler in the FogBus2 function-as-a-service framework for creating an edge–fog–cloud integrated serverless computing environment. Results obtained from extensive experiments show that DRLIS significantly reduces the execution cost of IoT applications by up to 55%, 37%, and 50% in terms of load balancing, response time, and weighted cost, respectively, compared with metaheuristic algorithms and other reinforcement learning techniques. © 2023 The Author(s)"/>
    <s v="Final"/>
    <s v="Scopus"/>
    <s v="DRL / IoT/Edge/fog computing"/>
    <n v="0"/>
    <x v="0"/>
    <x v="0"/>
    <x v="1"/>
    <x v="0"/>
    <x v="1"/>
    <x v="0"/>
    <s v="DRLIS - Deep Reinforcement Learning-based IoT application Scheduling algorithm"/>
    <s v="reduces the execution cost of IoT applications in terms of load balancing, response time, and weighted cost"/>
    <n v="1"/>
  </r>
  <r>
    <x v="4"/>
    <s v="Dehury C.K.; Poojara S.; Srirama S.N."/>
    <s v="Def-DReL: Towards a sustainable serverless functions deployment strategy for fog-cloud environments using deep reinforcement learning"/>
    <s v="Modern cloud applications are composed of tens of thousands of environment-agnostic serverless functions that can be deployed in either a fog or cloud environment. The key to sustaining fog computing is to offload the maximum amounts of computation to the cloud, and accommodate as many users as possible without compromising quality of service (QoS). However, recent research mainly focuses on assigning maximum resources to serverless applications from the fog node and not taking full advantage of the cloud environment, leading to a lack of sustainability in fog computing. As a way to fill this research gap, we explored what percentage of a user's request should be handled by fog and cloud. As a result, we proposed Def-DReL, a Systematic Deployment of Serverless Functions in Fog and Cloud environments using Deep Reinforcement Learning, by taking into account several real-life parameters, including distance from a nearby fog node and latency, priority of the user, priority of serverless applications, and resource usage. Def-DReL's performance is further compared with that of recent related algorithms. Simulation and comparison results clearly demonstrate a lesser number of serverless functions from each user (with approximately 10% improvement) being deployed in the fog node, resulting in accommodating limited fog resources to more number of users. The other simulation results show its superiority over other algorithms as well as its applicability to real-life scenarios. © 2023 Elsevier B.V."/>
    <s v="Final"/>
    <s v="Scopus"/>
    <s v="DRL / fog"/>
    <n v="0"/>
    <x v="0"/>
    <x v="0"/>
    <x v="1"/>
    <x v="0"/>
    <x v="1"/>
    <x v="0"/>
    <s v="Def-DReL, a Systematic Deployment of Serverless Functions"/>
    <s v="A lesser number of serverless functions from each user being deployed in the fog node, resulting in accommodating limited fog resources to more number of users"/>
    <n v="1"/>
  </r>
  <r>
    <x v="4"/>
    <s v="Talluri, Sacheendra; Herbst, Nikolas; Abad, Cristina; Matteis, Tiziano De; Iosup, Alexandru"/>
    <s v="ExDe: Design space exploration of scheduler architectures and mechanisms for serverless data-processing"/>
    <s v="Serverless computing is increasingly used for data-processing applications in both science and business domains. At the core of serverless data-processing systems is the scheduler, which ensures dynamic decisions about task and data placement. Due to the variety of user, cluster, and workload properties, the design space for high-performance and cost-effective scheduling architectures and mechanisms is vast. The large design space is difficult to explore and characterize. To help the system designer disentangle this complexity, we present ExDe, a framework to systematically explore the design space of scheduling architectures and mechanisms. The framework includes a conceptual model and a simulator to assist in design space exploration. We use the framework, and real-world workloads, to characterize the performance of three scheduling architectures and two mechanisms. Our framework is open-source software available on Zenodo."/>
    <s v="Future Generation Computer Systems"/>
    <s v="Science Direct"/>
    <s v="Serverless computing "/>
    <n v="0"/>
    <x v="0"/>
    <x v="0"/>
    <x v="0"/>
    <x v="0"/>
    <x v="0"/>
    <x v="0"/>
    <s v="ExDe a framework to systematically explore the design space of scheduling architectures "/>
    <s v="Characterize the performance of three scheduling architectures "/>
    <n v="1"/>
  </r>
  <r>
    <x v="5"/>
    <s v="Daraghmeh M.; Jararweh Y.; Agarwal A."/>
    <s v="Leveraging machine learning and feature engineering for optimal data-driven scaling decision in serverless computing"/>
    <s v="Serverless computing offers scalability and cost-efficiency, but balancing performance and cost remains challenging, particularly in scaling decisions that can lead to cold starts or resource misallocation. This research is motivated by the need to minimize the impact of cold starts and optimize resource utilization in serverless applications by developing intelligent, data-driven scaling decisions. We delve into using machine learning and feature engineering to model and simulate predictions for optimal scaling decisions for Azure Function Apps (AFA). Our focus lies in predicting the ideal timing for provisioning or de-provisioning the Function App's environment. Using historical invocation data, we applied a sliding window to transform the time-series data into patterns categorized as load or unload classes, considering various target periods. To identify the most effective model, we compared the performance of various baseline models with and without calibration (isotonic and sigmoid) to enhance precision. In addition, we assess multiple feature extraction methods in invocation patterns and explore the use of Principal Component Analysis (PCA) for dimensionality reduction to reduce computation costs. Using the best-identified configurations, we model and simulate the class patterns over time to compare the actual classes with the predicted ones, focusing on memory usage and the costs associated with cold starts. The proposed model is thoroughly evaluated using various metrics under different setups, revealing notable improvements in scaling decisions achieved by applying calibration and feature engineering methods. These findings demonstrate the potential of machine learning for intelligent, data-driven scaling decisions in serverless computing, offering valuable insights for cloud providers to optimize resource allocation and for developers to build more efficient and responsive serverless applications. Specifically, the proposed method can be integrated into serverless platforms to automatically adjust resource provisioning based on predicted workload demands, reducing cold start latency and improving cost-effectiveness. © 2025 The Authors"/>
    <s v="Final"/>
    <s v="Scopus"/>
    <s v="ML"/>
    <n v="0"/>
    <x v="0"/>
    <x v="1"/>
    <x v="1"/>
    <x v="0"/>
    <x v="1"/>
    <x v="0"/>
    <s v="not mentioned "/>
    <s v=" optimize resource allocation and for developers to build more efficient and responsive serverless applications"/>
    <n v="1"/>
  </r>
  <r>
    <x v="5"/>
    <s v="Mampage A.; Karunasekera S.; Buyya R."/>
    <s v="A deep reinforcement learning based algorithm for time and cost optimized scaling of serverless applications"/>
    <s v="Serverless computing has gained a strong traction in the cloud computing community in recent years. Among the many benefits of this novel computing model, the rapid auto-scaling capability of user applications takes prominence. However, the offer of adhoc scaling of user deployments at function level introduces many complications to serverless systems. The added delay and failures in function request executions caused by the time consumed for dynamically creating new resources to suit function workloads, known as the cold-start delay, is one such very prevalent shortcoming. Maintaining idle resource pools to alleviate this issue often results in wasted resources from the cloud provider perspective. Existing solutions to address this limitation mostly focus on predicting and understanding function load levels in order to proactively create required resources. Although these solutions improve function performance, the lack of understanding on the overall system characteristics in making these scaling decisions often leads to the sub-optimal usage of system resources. Further, the multi-tenant nature of serverless systems requires a scalable solution adaptable for multiple co-existing applications, a limitation seen in most current solutions. In this paper, we introduce a novel multi-agent Deep Reinforcement Learning based intelligent solution for both horizontal and vertical scaling of function resources, based on a comprehensive understanding on both function and system requirements. Our solution elevates function performance reducing cold starts, while also offering the flexibility for optimizing resource maintenance cost to the service providers. Experiments conducted considering varying workload scenarios show improvements of up to 23% and 34% in terms of application latency and request failures, or alternatively saving up to 45% in infrastructure cost for the service providers. © 2025"/>
    <s v="Final"/>
    <s v="Scopus"/>
    <s v="DRL"/>
    <n v="0"/>
    <x v="0"/>
    <x v="1"/>
    <x v="1"/>
    <x v="0"/>
    <x v="1"/>
    <x v="0"/>
    <s v="multi-agent Deep Reinforcement Learning"/>
    <s v="reducing cold starts, while also offering the flexibility for optimizing resource maintenance cost to the service providers"/>
    <n v="1"/>
  </r>
  <r>
    <x v="5"/>
    <s v="J. R. Corporan; A. Bahga; V. K. Madisetti"/>
    <s v="Function Delivery Network: A Spatial-Temporal Execution Orchestrator for Optimizing Serverless Computing"/>
    <s v="We present Function Delivery Network (FDN), a novel spatial-temporal execution orchestrator designed to address key limitations in current serverless computing models. The FDN introduces several innovations, including a multi-tenant serverless model, a secure and reusable functional context, and distributed shared memory, to optimize resource allocation and improve performance in high-concurrency and globally distributed scenarios. We implement the FDN on a major cloud platform and evaluate its performance against traditional Function-as-a-Service (FaaS) execution using a variety of benchmark functions. Our results demonstrate significant improvements in resource utilization, execution time, and request completion rates. The FDN reduces function instance allocation by up to 97.82%, improves median response times by 45.45%, and maintains higher request completion rates at high concurrency levels compared to native FaaS execution. The FDNâ€™s adaptive execution window mechanism allows for fine-tuned optimization based on function characteristics and workload patterns. This approach effectively addresses challenges such as cold starts, inefficient resource allocation, and scalability limitations in current serverless platforms. By providing a more efficient and scalable model for serverless computing, the FDN enables more cost-effective and performant cloud-native applications, particularly in scenarios involving high concurrency and global distribution."/>
    <s v="Final"/>
    <s v="IEEE Journals"/>
    <s v="Serverless computing"/>
    <n v="0"/>
    <x v="1"/>
    <x v="1"/>
    <x v="0"/>
    <x v="0"/>
    <x v="0"/>
    <x v="0"/>
    <s v=" (FDN) Function Delivery Network"/>
    <s v="improvements in resource utilization, execution time, and request completion rates"/>
    <n v="1"/>
  </r>
  <r>
    <x v="5"/>
    <s v="Sala R.; Guindani B.; Galimberti E.; Filippini F.; Sedghani H.; Ardagna D.; Risco S.; Moltó G.; Caballer M."/>
    <s v="OSCAR-P and aMLLibrary: Profiling and predicting the performance of FaaS-based applications in computing continua"/>
    <s v="This paper proposes an automated framework for efficient application profiling and training of Machine Learning (ML) performance models, composed of two parts: OSCAR-P and aMLLibrary. OSCAR-P is an auto-profiling tool designed to automatically test serverless application workflows running on multiple hardware and node combinations in cloud and edge environments. OSCAR-P obtains relevant profiling information on the execution time of the individual application components. These data are later used by aMLLibrary to train ML-based performance models. This makes it possible to predict the performance of applications on unseen configurations. We test our framework on clusters with different architectures (x86 and arm64) and workloads, considering multi-component use-case applications. This extensive experimental campaign proves the efficiency of OSCAR-P and aMLLibrary, significantly reducing the time needed for the application profiling, data collection, and data processing. The preliminary results obtained on the ML performance models accuracy show a Mean Absolute Percentage Error lower than 30% in all the considered scenarios. © 2024 The Authors"/>
    <s v="Final"/>
    <s v="Scopus"/>
    <s v="ML"/>
    <n v="0"/>
    <x v="1"/>
    <x v="0"/>
    <x v="0"/>
    <x v="0"/>
    <x v="0"/>
    <x v="0"/>
    <s v="OSCAR-P and aMLLibrary"/>
    <s v="reducing the time needed for the application profiling, data collection, and data processing"/>
    <n v="1"/>
  </r>
  <r>
    <x v="5"/>
    <s v="Poojara, Shivananda; Jakovits, Pelle; Buyya, Rajkumar; Srirama, Satish Narayana"/>
    <s v="Scaling Approaches for Serverless Data Pipelines in Edge and Fog Computing Environments: A Performance Evaluation"/>
    <s v="The rise of Internet of Things (IoT) applications has led to massive data generation. However, dealing with such massive data is challenging. Nowadays, data pipelines are popular mechanisms used to properly deal with data operations at scale in the IoT continuum. Serverless data pipelines (SDP) are one such approach to performing event-driven data analysis on data streams. Data pipelines are composed of many components, and scaling the entire pipeline without leaving any bottlenecks is challenging. This study aims to assess the performance of scaling mechanisms in handling stochastic workloads efficiently and understanding critical resource utilization in fog environments. We applied workload-based techniques (Request per Second, Queue Length, Message Rate) and resource-based scaling (CPU) on SDP components of two IoT applications: Aeneas (long-running functions) and PuhatuMonitoring (short-running functions). Using Azure serverless workload patterns, we compared scaling approaches in real-time fog environments, evaluating QoS metrics like processing time and CPU utilization. Our analysis of suitability, using the weighted average scoring method on two QoS metrics, revealed that for compute-intensive tasks, the resource-based scaling approach works effectively for jump, steady, spike, and fluctuation workloads. For short execution time tasks, workload-based scaling suits all four workloads."/>
    <s v="Place: New York, NY, USA Publisher: Association for Computing Machinery"/>
    <s v="ACM"/>
    <s v="IoT"/>
    <n v="0"/>
    <x v="1"/>
    <x v="0"/>
    <x v="0"/>
    <x v="0"/>
    <x v="0"/>
    <x v="0"/>
    <s v="Aeneas (long-running functions) and PuhatuMonitoring (short-running functions)"/>
    <s v="improve execution time tasks,and workload-based"/>
    <n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s v="Scheuner J.; Leitner P."/>
    <s v="Function-as-a-Service performance evaluation: A multivocal literature review"/>
    <s v="Function-as-a-Service (FaaS) is one form of the serverless cloud computing paradigm and is defined through FaaS platforms (e.g., AWS Lambda) executing event-triggered code snippets (i.e., functions). Many studies that empirically evaluate the performance of such FaaS platforms have started to appear but we are currently lacking a comprehensive understanding of the overall domain. To address this gap, we conducted a multivocal literature review (MLR) covering 112 studies from academic (51) and grey (61) literature. We find that existing work mainly studies the AWS Lambda platform and focuses on micro-benchmarks using simple functions to measure CPU speed and FaaS platform overhead (i.e., container cold starts). Further, we discover a mismatch between academic and industrial sources on tested platform configurations, find that function triggers remain insufficiently studied, and identify HTTP API gateways and cloud storages as the most used external service integrations. Following existing guidelines on experimentation in cloud systems, we discover many flaws threatening the reproducibility of experiments presented in the surveyed studies. We conclude with a discussion of gaps in literature and highlight methodological suggestions that may serve to improve future FaaS performance evaluation studies. © 2020 The Authors"/>
    <s v="Final"/>
    <s v="Scopus"/>
    <s v="Literature Review paper"/>
    <n v="0"/>
    <x v="0"/>
    <x v="0"/>
    <x v="0"/>
    <x v="0"/>
    <x v="0"/>
    <x v="0"/>
    <s v="LR for (112) studies"/>
    <s v="find that existing work mainly studies the AWS Lambda platform"/>
    <n v="1"/>
  </r>
  <r>
    <x v="1"/>
    <s v="Lee S.; Yoon D.; Yeo S.; Oh S."/>
    <s v="Mitigating cold start problem in serverless computing with function fusion"/>
    <s v="As Artificial Intelligence (AI) is becoming ubiquitous in many applications, serverless computing is also emerging as a building block for developing cloud-based AI services. Serverless computing has received much interest because of its simplicity, scalability, and resource efficiency. However, due to the trade-off with resource efficiency, serverless computing suffers from the cold start problem, that is, a latency between a request arrival and function execution. The cold start problem significantly influences the overall response time of workflow that consists of functions because the cold start may occur in every function within the workflow. Function fusion can be one of the solutions to mitigate the cold start latency of a workflow. If two functions are fused into a single function, the cold start of the second function is removed; however, if parallel functions are fused, the workflow response time can be increased because the parallel functions run sequentially even if the cold start latency is reduced. This study presents an approach to mitigate the cold start latency of a workflow using function fusion while considering a parallel run. First, we identify three latencies that affect response time, present a workflow response time model considering the latency, and efficiently find a fusion solution that can optimize the response time on the cold start. Our method shows a response time of 28–86% of the response time of the original workflow in five workflows. © 2021 by the authors. Licensee MDPI, Basel, Switzerland."/>
    <s v="Final"/>
    <s v="Scopus"/>
    <s v="AI in cloud-based serverless"/>
    <s v="time (latency because of cold start) "/>
    <x v="0"/>
    <x v="0"/>
    <x v="1"/>
    <x v="0"/>
    <x v="0"/>
    <x v="0"/>
    <s v="mitigate the cold start latency by optimiza workflow response time "/>
    <s v="Improve response time of the original workflow"/>
    <n v="1"/>
  </r>
  <r>
    <x v="2"/>
    <s v="Liu, Xuanzhe; Wen, Jinfeng; Chen, Zhenpeng; Li, Ding; Chen, Junkai; Liu, Yi; Wang, Haoyu; Jin, Xin"/>
    <s v="FaaSLight: General Application-level Cold-start Latency Optimization for Function-as-a-Service in Serverless Computing"/>
    <s v="Serverless computing is a popular cloud computing paradigm that frees developers from server management. Function-as-a-Service (FaaS) is the most popular implementation of serverless computing, representing applications as event-driven and stateless functions. However, existing studies report that functions of FaaS applications severely suffer from cold-start latency.In this article, we propose an approach, namely, FaaSLight, to accelerating the cold start for FaaS applications through application-level optimization. We first conduct a measurement study to investigate the possible root cause of the cold-start problem of FaaS. The result shows that application code loading latency is a significant overhead. Therefore, loading only indispensable code from FaaS applications can be an adequate solution. Based on this insight, we identify code related to application functionalities by constructing the function-level call graph and separate other code (i.e., optional code) from FaaS applications. The separated optional code can be loaded on demand to avoid the inaccurate identification of indispensable code causing application failure. In particular, a key principle guiding the design of FaaSLight is inherently general, i.e., platform- and language-agnostic. In practice, FaaSLight can be effectively applied to FaaS applications developed in different programming languages (Python and JavaScript), and can be seamlessly deployed on popular serverless platforms such as AWS Lambda and Google Cloud Functions, without having to modify the underlying OSes or hypervisors, nor introducing any additional manual engineering efforts to developers. The evaluation results on real-world FaaS applications show that FaaSLight can significantly reduce the code loading latency (up to 78.95%, 28.78% on average), thereby reducing the cold-start latency. As a result, the total response latency of functions can be decreased by up to 42.05% (19.21% on average). Compared with the state-of-the-art, FaaSLight achieves a 21.25× improvement in reducing the average total response latency."/>
    <s v="Place: New York, NY, USA Publisher: Association for Computing Machinery"/>
    <s v="ACM"/>
    <s v="Serverless computing"/>
    <n v="0"/>
    <x v="0"/>
    <x v="0"/>
    <x v="1"/>
    <x v="0"/>
    <x v="0"/>
    <x v="0"/>
    <s v=" FaaSLight"/>
    <s v="accelerating the cold start for FaaS applications through application-level optimization"/>
    <n v="1"/>
  </r>
  <r>
    <x v="2"/>
    <s v="M. Golec; S. S. Gill; A. K. Parlikad; S. Uhlig"/>
    <s v="HealthFaaS: AI-Based Smart Healthcare System for Heart Patients Using Serverless Computing"/>
    <s v="Heart disease is one of the leading causes of death worldwide, and with early detection, mortality rates can be reduced. Well-known studies have shown that the latest artificial intelligence (AI) can be used to determine the risk of heart disease. However, existing studies did not consider dynamic scalability to get the best performance from these AI models in case of an increasing number of users. To solve this problem, we proposed an AI-powered smart healthcare framework called HealthFaaS, using the Internet of Things (IoT) and a Serverless Computing environment to reduce heart disease-related deaths and prevent financial losses by reducing misdiagnoses. HealthFaaS framework collects health data from users via IoT devices and sends it to AI models deployed on a Google Cloud Platform (GCP)-based serverless computing environment due to its advantages, such as dynamic scalability, less operational complexity, and a pay-as-you-go pricing model. The performance of five different AI models for heart disease risk detection is evaluated and compared based on key parameters, such as accuracy, precision, recall,  $F$ -Score, and AUC. Experimental results demonstrate that the light gradient boosting machine model gives the highest success in detecting heart diseases with an accuracy rate of 91.80%. Further, we have tested the performance of the HealthFaaS framework in terms of Quality-of-Service (QoS) parameters, such as throughput and latency against the increasing number of users and compared it with a non-serverless platform. In addition, we have also evaluated the cold start latency using a serverless platform which determined that the amount of memory and the software language makes a direct impact on the cold start latency."/>
    <s v="Final"/>
    <s v="IEEE Journals"/>
    <s v="AI/ HEALTHCARE / IoT"/>
    <n v="0"/>
    <x v="0"/>
    <x v="0"/>
    <x v="1"/>
    <x v="0"/>
    <x v="0"/>
    <x v="1"/>
    <s v="HealthFaaS"/>
    <s v="Improve throughput and latency, cold start latency"/>
    <n v="1"/>
  </r>
  <r>
    <x v="3"/>
    <s v="Ana Ebrahimi a, Mostafa Ghobaei-Arani a,*, Hadi Saboohi b"/>
    <s v="Cold start latency mitigation mechanisms in serverless computing: Taxonomy, review, and future directions"/>
    <s v="Today, Function-as-a-Service (FaaS), as an emerging path to implementing serverless computing paradigm, seems quite promising in responding to the growing increase in requests for microservices. However, the serverless computing model also brings new challenges. Although the execution time of the functions is very short in FaaS, the initialization of containers and cold start is time-consuming and leads to a decrease in system performance. Cold start latency reduces the attractiveness of FaaS with the cost it imposes on the system. This is the most serious challenge in the majority of serverless computing platforms. Despite the importance of the subject, to the best of our knowledge, there is no comprehensive systematic review of cold start latency mitigation mechanisms in serverless computing platforms. This study aims to provide a systematic literature review on cold start latency mitigation mechanisms in serverless computing environment. In our proposed taxonomy, the mechanisms are classified into four categories: application-based, checkpoint-based, invocation time prediction-based, and cache-based; then, every category is introduced and reviewed. Finally, we propose open issues and conclude."/>
    <s v="Journal of Systems Architecture"/>
    <s v="Science Direct"/>
    <s v="Taxonomy"/>
    <n v="0"/>
    <x v="1"/>
    <x v="0"/>
    <x v="1"/>
    <x v="0"/>
    <x v="0"/>
    <x v="0"/>
    <s v="non"/>
    <m/>
    <n v="1"/>
  </r>
  <r>
    <x v="3"/>
    <s v="Karamzadeh A.; Shameli-Sendi A."/>
    <s v="Reducing cold start delay in serverless computing using lightweight virtual machines"/>
    <s v="In recent years, serverless computing has gained considerable attention in academic, professional, and business circles. Unique features such as code development flexibility and the cost-efficient pay-as-you-go pricing model have led to predictions of widespread adoption of serverless services. Major players in the cloud computing sector, including industry giants like Amazon, Google, and Microsoft, have made significant advancements in the field of serverless services. However, cloud computing faces complex challenges, with two prominent ones being the latency caused by cold start instances and security vulnerabilities associated with container escapes. These challenges undermine the smooth execution of isolated functions, a concern amplified by technologies like Google gVisor and Kata Containers. While the integration of tools like lightweight virtual machines has alleviated concerns about container escape vulnerabilities, the primary issue remains the increased delay experienced during cold start instances in the execution of serverless functions. The purpose of this research is to propose an architecture that reduces cold start delay overhead by utilizing lightweight virtual machines within a commercial architecture, thereby achieving a setup that closely resembles real-world scenarios. This research employs supervised learning methodologies to predict function invocations by leveraging the execution patterns of other program functions. The goal is to proactively mitigate cold start scenarios by invoking the target function before actual user initiation, effectively transitioning from cold starts to warm starts. In this study, we compared our approach with two fixed and variable window strategies. Commercial platforms like Knative, OpenFaaS, and OpenWhisk typically employ a fixed 15-minute window during cold starts. In contrast to these platforms, our approach demonstrated a significant reduction in cold start incidents. Specifically, when calling a function 200 times with 5, 10, and 20 invocations within one hour, our approach achieved reductions in cold starts by 83.33%, 92.13%, and 90.90%, respectively. Compared to the variable window approach, which adjusts the window based on cold start values, our proposed approach was able to prevent 82.92%, 91.66%, and 90.56% of cold starts for the same scenario. These results highlight the effectiveness of our approach in significantly reducing cold starts, thereby enhancing the performance and responsiveness of serverless functions. Our method outperformed both fixed and variable window strategies, making it a valuable contribution to the field of serverless computing. Additionally, the implementation of pre-invocation strategies to convert cold starts into warm starts results in a substantial reduction in the execution time of functions within lightweight virtual machines. © 2024 Elsevier Ltd"/>
    <s v="Final"/>
    <s v="Scopus"/>
    <s v="Serverless computing"/>
    <n v="0"/>
    <x v="1"/>
    <x v="0"/>
    <x v="1"/>
    <x v="0"/>
    <x v="0"/>
    <x v="0"/>
    <s v="not mentioned "/>
    <s v="reducing cold starts, thereby enhancing the performance"/>
    <n v="1"/>
  </r>
  <r>
    <x v="3"/>
    <s v="Kumari A.; Sahoo B."/>
    <s v="ACPM: adaptive container provisioning model to mitigate serverless cold-start"/>
    <s v="In recent years, serverless computing has emerged as a new cloud service model that provides an elegant computing framework for application development. It allows developers to focus solely on application logic without having to worry about the underlying infrastructure or execution environment. One of the most attractive features of serverless computing is scale-to-zero, where function instances are immediately released as soon as they complete their execution. This makes the computing model more cost-effective. However, when a new function request arrives, a container must be prepared from scratch, including initialization, configuration, and loading of required libraries and packages. This requires additional startup time, also known as cold-start delay, which can degrade the performance of the computing framework. This paper proposes an integrated model, called adaptive container provisioning model (ACPM), to reduce cold-start latency through runtime provisioning of containers. ACPM promises to reduce the frequency of cold-starts and delay due to cold-start, improving the overall performance of serverless execution. It consists of two phases. In the first phase, an efficient deep learning model, such as long short term memory (LSTM), is used to predict the required number of pre-warmed containers in advance, which can be served as soon as the function request arrives. This phase is integrated with a container placement module for faster delivery of a container to minimize the frequency of cold-start delay. The second phase is based on a sandboxing mechanism where groups of similar functions can be placed in a single container instead of creating a separate container for each incoming request. ACPM drastically reduces cold-start delay and improves overall performance. The effectiveness of ACPM has been extensively compared with standard approaches such as container-sharing, container-reuse, pre-warming, restore-based, etc. From the experiment, it can be observed that ACPM outperforms other existing models in reducing cold-start latency. © The Author(s), under exclusive licence to Springer Science+Business Media, LLC, part of Springer Nature 2023."/>
    <s v="Final"/>
    <s v="Scopus"/>
    <s v="serverless computing functions"/>
    <n v="0"/>
    <x v="0"/>
    <x v="0"/>
    <x v="1"/>
    <x v="0"/>
    <x v="0"/>
    <x v="0"/>
    <s v="(ACPM) adaptive container provisioning model"/>
    <s v="minimize the frequency of cold-start delay"/>
    <n v="1"/>
  </r>
  <r>
    <x v="3"/>
    <s v="C Chen, M Herrera, G Zheng, L Xia, Z Ling, J Wang"/>
    <s v="Cross-Edge Orchestration of Serverless Functions with Probabilistic Caching"/>
    <s v="Serverless edge computing adopts an event-based paradigm that provides back-end services on an as-used basis, resulting in efficient resource utilization. To improve the end-toend latency and revenue, service providers need to  ptimize the number and placement of serverless containers while considering the system cost incurred by the  rovisioning. The particular reason for this circumstance is that frequently creating and destroying containers not only  ncreases the system cost but also degrades the time responsiveness due to the cold-start process. Function caching is a common approach to mitigate the coldstart issue. However, function caching requires extra hardware resources and hence incurs extra system costs.  urthermore, the dynamic and bursty nature of serverless invocations remains an under-explored area. Hence, it is vitally  mportant for service providers to conduct a context-aware request istribution and container caching policy for  erverless edge computing. In this paper, we study the request distribution and container caching problem in serverless edge computing. We prove the proposed problem is NP-hard and hence difficult to find a global optimal solution. We  ointly consider the distributed and resourceconstrained nature of edge computing and propose an optimized request  istribution algorithm that adapts to the dynamics of serverless  nvocations with a theoretical performance guarantee. Also, we propose a context-aware probabilistic caching policy that incorporates a number of characteristics of  erverless invocations. Via simulation and implementation results, we demonstrate the superiority of the proposed  lgorithm by outperforming existing caching policies in terms of the overall system cost and cold-start frequency by up to  2.1% and 69.1%, respectively."/>
    <s v="IEEE Transactions on Services Computing"/>
    <s v="IEEEXplore"/>
    <s v="edge computing"/>
    <n v="0"/>
    <x v="0"/>
    <x v="0"/>
    <x v="1"/>
    <x v="0"/>
    <x v="1"/>
    <x v="0"/>
    <s v="NP-hard "/>
    <s v="improve overall system cost and cold-start"/>
    <n v="1"/>
  </r>
  <r>
    <x v="3"/>
    <s v="L. Yu; L. Fu; S. Chenhao"/>
    <s v="Serverless Cold Start Performance Optimization Based on Multi-Request Processing and Adaptive Hierarchical Scaling"/>
    <s v="Serverless has gained significant attention due to its advantages of high elasticity, low cost, and reduced operational overhead. However, the cold start problem severely constrains its performance and user experience. This paper proposes an innovative hierarchical startup optimization scheme that introduces a critical parameter called scaling threshold based on multi-concurrency execution within a single instance. By employing fine-grained instance concurrency control and adaptive scaling, this approach reduces the probability of cold starts while maintaining resource utilization efficiency. We systematically present the optimization principles, controller design, and implementation details of the hierarchical startup scheme. Extensive experiments are conducted to evaluate the proposed scheme for various types of Serverless applications. The results demonstrate that the hierarchical startup scheme significantly improves the cold start performance of Serverless applications, further reducing the cold start rate by 18.4% to 25.6% and the average response time by 8.9% to 27.5%. Further theoretical analysis and experimental data confirm the rationality and effectiveness of the schemeâ€™s design. The research findings enrich the theory and methods of cold start optimization in Serverless and hold significant value for enhancing Serverless application performance and promoting the widespread adoption of Serverless."/>
    <s v="Final"/>
    <s v="IEEE Journals"/>
    <s v="Serverless application"/>
    <n v="0"/>
    <x v="0"/>
    <x v="0"/>
    <x v="0"/>
    <x v="0"/>
    <x v="0"/>
    <x v="0"/>
    <s v="Innovative hierarchical startup optimization scheme"/>
    <s v="improves the cold start performance of Serverless applications, further reducing the cold start rate"/>
    <n v="1"/>
  </r>
  <r>
    <x v="4"/>
    <s v="Salcedo-Navarro A.; Peña-Ortiz R.; Claver J.M.; Garcia-Pineda M.; Gutiérrez-Aguado J."/>
    <s v="Towards GPU-enabled serverless cloud edge platforms for accelerating HEVC video coding"/>
    <s v="Multimedia streaming has become integral to modern living, reshaping entertainment consumption, information access, and global engagement. The ascent of cloud computing, particularly serverless architectures, plays a pivotal role in this transformation, offering dynamic resource allocation, parallel execution, and automatic scaling-especially beneficial in HTTP Adaptive Streaming (HAS) applications. This study presents an event-driven serverless cloud edge platform with graphics processing units (GPUs), managed by Knative, tailored for video encoding. Two implementations of the High Efficiency Video Coding (HEVC) codec have been encapsulated in the functions: HEVC NVENC (Nvidia Encoder), that uses GPU acceleration, and x265 that only uses CPUs. Experiments focused on measuring the impact of replica requested resources on cold start, scalability and resource consumption with different allocated resources on slim and fat virtual machines (VMs). The best results are obtained when four slim replicas of the functions are deployed on a fat VM with a 8.4% reduction in encoding time for x265 and a 15.2% improvement for HEVC NVENC compared with other deployment scenarios. Comparatively, HEVC NVENC encoding is 8.3 times faster than x265. In multiresolution scenarios, GPU encoding drastically reduces segment encoding time by a factor of 12.4 between non-GPU and GPU-accelerated. These findings are important for live streaming applications where low latency is critical at all stages of the streaming process. © The Author(s) 2024."/>
    <s v="Final"/>
    <s v="Scopus"/>
    <s v="Multimedia/video codeing "/>
    <n v="0"/>
    <x v="0"/>
    <x v="0"/>
    <x v="1"/>
    <x v="0"/>
    <x v="0"/>
    <x v="0"/>
    <s v="(HEVC) High Efficiency Video Coding"/>
    <s v=" low latency "/>
    <n v="1"/>
  </r>
  <r>
    <x v="4"/>
    <s v="Daraghmeh M.; Jararweh Y.; Agarwal A."/>
    <s v="Leveraging machine learning and feature engineering for optimal data-driven scaling decision in serverless computing"/>
    <s v="Serverless computing offers scalability and cost-efficiency, but balancing performance and cost remains challenging, particularly in scaling decisions that can lead to cold starts or resource misallocation. This research is motivated by the need to minimize the impact of cold starts and optimize resource utilization in serverless applications by developing intelligent, data-driven scaling decisions. We delve into using machine learning and feature engineering to model and simulate predictions for optimal scaling decisions for Azure Function Apps (AFA). Our focus lies in predicting the ideal timing for provisioning or de-provisioning the Function App's environment. Using historical invocation data, we applied a sliding window to transform the time-series data into patterns categorized as load or unload classes, considering various target periods. To identify the most effective model, we compared the performance of various baseline models with and without calibration (isotonic and sigmoid) to enhance precision. In addition, we assess multiple feature extraction methods in invocation patterns and explore the use of Principal Component Analysis (PCA) for dimensionality reduction to reduce computation costs. Using the best-identified configurations, we model and simulate the class patterns over time to compare the actual classes with the predicted ones, focusing on memory usage and the costs associated with cold starts. The proposed model is thoroughly evaluated using various metrics under different setups, revealing notable improvements in scaling decisions achieved by applying calibration and feature engineering methods. These findings demonstrate the potential of machine learning for intelligent, data-driven scaling decisions in serverless computing, offering valuable insights for cloud providers to optimize resource allocation and for developers to build more efficient and responsive serverless applications. Specifically, the proposed method can be integrated into serverless platforms to automatically adjust resource provisioning based on predicted workload demands, reducing cold start latency and improving cost-effectiveness. © 2025 The Authors"/>
    <s v="Final"/>
    <s v="Scopus"/>
    <s v="ML"/>
    <n v="0"/>
    <x v="0"/>
    <x v="0"/>
    <x v="1"/>
    <x v="1"/>
    <x v="1"/>
    <x v="0"/>
    <s v="not mentioned "/>
    <s v=" optimize resource allocation and for developers to build more efficient and responsive serverless applications"/>
    <n v="1"/>
  </r>
  <r>
    <x v="4"/>
    <s v="Li M.; Xu F.; Wu Y.; Zhang J.; Xu W.; Wu Y."/>
    <s v="Real-time task dispatching and scheduling in serverless edge computing"/>
    <s v="Edge computing brings computing resources closer to the Internet of Things (IoT) devices, significantly reducing transmission latency and bandwidth usage. However, the limited resources of edge servers require efficient management. Serverless computing meets this demand through its elastic resource provisioning, leading to the emergence of serverless edge computing—a promising computing paradigm. Despite its potential, real-time task dispatching and scheduling in the highly complex and dynamic environment of serverless edge computing present significant challenges. On the one hand, task execution requires not only sufficient CPU resources but also free containers; on the other hand, tasks are typically event-driven, with strong burstiness and high concurrency, and impose stringent demands on fast decision-making. To address these challenges, we propose a real-time task dispatching and scheduling method, aiming to maximize the satisfaction rate of Service Level Objectives (SLOs) for tasks. First, we design a task dispatching algorithm named Adaptive Deep Reinforcement Learning (ADRL). This algorithm can quickly decide the execution position of tasks based on coarse information and effectively adapt to the changes in available servers in dynamic environments. Second, we propose a task scheduling algorithm named Warm-aware Shortest Remaining Idle Time (WSRIT), which guides the edge servers to schedule the tasks in the request queue based on the tasks’ remaining idle time and the state of the warm containers. Considering the limited storage space of the edge servers, we further introduce a container replacement algorithm named Low Priority First (LPF) to ensure smooth container launches. Extensive simulation experiments are conducted based on Azure datasets. The results show that our methodcan improve the satisfaction rate of SLOs by 12.57∼41.87% and achieve the lowest cold start rate compared to existing methods. © 2025"/>
    <s v="Final"/>
    <s v="Scopus"/>
    <s v="DRL /IoT"/>
    <n v="0"/>
    <x v="0"/>
    <x v="0"/>
    <x v="1"/>
    <x v="0"/>
    <x v="0"/>
    <x v="0"/>
    <s v="(ADRL) Adaptive Deep Reinforcement Learning/(WSRIT) Warm-aware Shortest Remaining Idle Time"/>
    <s v="improve the satisfaction rate of SLOs and achieve the lowest cold start rate "/>
    <n v="1"/>
  </r>
  <r>
    <x v="4"/>
    <s v="Chen Y.; Liu B.; Lin W.; Guo Y.; Peng Z."/>
    <s v="CASR: Optimizing cold start and resources utilization in serverless computing"/>
    <s v="Serverless computing, also known as Functions as a Service (FaaS), is an emerging cloud deployment paradigm that offers advantages such as pay-as-you-go pricing and automatic scaling. Functions often suffer from cold starts delays due to the overhead of initializing code and data dependencies before execution. Retaining containers in memory for a period after execution can reduce cold start latency. However, existing application-layer solutions overlook the effect of cold start overhead on the availability of containers, resulting in suboptimal balance between cold start latency and memory resource utilization. Furthermore, these strategies typically overlook the optimization of overall cold start overhead, which is essential for enhancing system efficiency. To address these challenges, we propose the Cache-Based Adaptive Scheduler for Serverless Runtime (CASR), an adaptive strategy for managing container runtime configurations. CASR effectively balances cold start latency and memory utilization while reducing overall cold start overhead. Specifically, we introduce a serverless cache (S-Cache) that leverages the equivalence between caching problems and container keep-alive strategies to mitigate cold starts. Additionally, we develop a deep reinforcement learning model, based on the proximal policy optimization algorithm, to enable the automatic scaling of the S-Cache queue, allowing adaptation to dynamic cloud workloads and enhancing memory resource utilization. Extensive simulations on an Azure dataset show that CASR reduces cold starts by 38.75%, improves memory resource utilization by 46.73%, and decreases cold start overhead by 48.53% compared to existing container keep-alive strategies in serverless platforms under common workloads. © 2025 Elsevier B.V."/>
    <s v="Final"/>
    <s v="Scopus"/>
    <s v="DRL"/>
    <n v="0"/>
    <x v="0"/>
    <x v="0"/>
    <x v="1"/>
    <x v="0"/>
    <x v="0"/>
    <x v="0"/>
    <s v="(CASR) Cache-Based Adaptive Scheduler for Serverless Runtime"/>
    <s v="balances cold start latency and memory utilization while reducing overall cold start overhead"/>
    <n v="1"/>
  </r>
  <r>
    <x v="4"/>
    <s v="Mampage A.; Karunasekera S.; Buyya R."/>
    <s v="A deep reinforcement learning based algorithm for time and cost optimized scaling of serverless applications"/>
    <s v="Serverless computing has gained a strong traction in the cloud computing community in recent years. Among the many benefits of this novel computing model, the rapid auto-scaling capability of user applications takes prominence. However, the offer of adhoc scaling of user deployments at function level introduces many complications to serverless systems. The added delay and failures in function request executions caused by the time consumed for dynamically creating new resources to suit function workloads, known as the cold-start delay, is one such very prevalent shortcoming. Maintaining idle resource pools to alleviate this issue often results in wasted resources from the cloud provider perspective. Existing solutions to address this limitation mostly focus on predicting and understanding function load levels in order to proactively create required resources. Although these solutions improve function performance, the lack of understanding on the overall system characteristics in making these scaling decisions often leads to the sub-optimal usage of system resources. Further, the multi-tenant nature of serverless systems requires a scalable solution adaptable for multiple co-existing applications, a limitation seen in most current solutions. In this paper, we introduce a novel multi-agent Deep Reinforcement Learning based intelligent solution for both horizontal and vertical scaling of function resources, based on a comprehensive understanding on both function and system requirements. Our solution elevates function performance reducing cold starts, while also offering the flexibility for optimizing resource maintenance cost to the service providers. Experiments conducted considering varying workload scenarios show improvements of up to 23% and 34% in terms of application latency and request failures, or alternatively saving up to 45% in infrastructure cost for the service providers. © 2025"/>
    <s v="Final"/>
    <s v="Scopus"/>
    <s v="DRL"/>
    <n v="0"/>
    <x v="0"/>
    <x v="0"/>
    <x v="1"/>
    <x v="1"/>
    <x v="1"/>
    <x v="0"/>
    <s v="multi-agent Deep Reinforcement Learning"/>
    <s v="reducing cold starts, while also offering the flexibility for optimizing resource maintenance cost to the service providers"/>
    <n v="1"/>
  </r>
  <r>
    <x v="4"/>
    <s v="J. R. Corporan; A. Bahga; V. K. Madisetti"/>
    <s v="Function Delivery Network: A Spatial-Temporal Execution Orchestrator for Optimizing Serverless Computing"/>
    <s v="We present Function Delivery Network (FDN), a novel spatial-temporal execution orchestrator designed to address key limitations in current serverless computing models. The FDN introduces several innovations, including a multi-tenant serverless model, a secure and reusable functional context, and distributed shared memory, to optimize resource allocation and improve performance in high-concurrency and globally distributed scenarios. We implement the FDN on a major cloud platform and evaluate its performance against traditional Function-as-a-Service (FaaS) execution using a variety of benchmark functions. Our results demonstrate significant improvements in resource utilization, execution time, and request completion rates. The FDN reduces function instance allocation by up to 97.82%, improves median response times by 45.45%, and maintains higher request completion rates at high concurrency levels compared to native FaaS execution. The FDNâ€™s adaptive execution window mechanism allows for fine-tuned optimization based on function characteristics and workload patterns. This approach effectively addresses challenges such as cold starts, inefficient resource allocation, and scalability limitations in current serverless platforms. By providing a more efficient and scalable model for serverless computing, the FDN enables more cost-effective and performant cloud-native applications, particularly in scenarios involving high concurrency and global distribution."/>
    <s v="Final"/>
    <s v="IEEE Journals"/>
    <s v="Serverless computing"/>
    <n v="0"/>
    <x v="1"/>
    <x v="0"/>
    <x v="0"/>
    <x v="1"/>
    <x v="0"/>
    <x v="0"/>
    <s v=" (FDN) Function Delivery Network"/>
    <s v="improvements in resource utilization, execution time, and request completion rates"/>
    <n v="1"/>
  </r>
  <r>
    <x v="4"/>
    <s v="Hanaforoosh M.; Azgomi M.A.; Ashtiani M."/>
    <s v="Reducing the cost of cold start time in serverless function executions using granularity trees"/>
    <s v="In serverless computing, cold starts significantly impede performance. This paper presents a granularity tree-based scheduling strategy, dynamically adjusting serverless function deployment by package dependencies to mitigate cold starts and optimize resource usage. This approach notably reduces cold start and response times. Empirical results from evaluating functions across various datasets show the strategy outperforms existing methods. Specifically, it consistently delivers lower response times and decreases resource consumption, demonstrating its effectiveness in managing computational resources while ensuring swift function invocation. In particular scenarios, the proposed scheduler impressively reduced response times from 8134.1 ms to 392.8 ms and idle memory usage from 15.2 GB to 11.2 GB per machine. In other scenarios, it reduced response times from 12,152.7 ms to 504.2 ms while maintaining a 100% function execution percentage. These quantified improvements underscore the significant enhancements in cold start mitigation and overall system performance, highlighting the potential of granularity tree-based scheduling in enhancing serverless computing architectures by effectively balancing rapid response with reduced resource usage. © 2024 Elsevier B.V."/>
    <s v="Final"/>
    <s v="Scopus"/>
    <s v="serverless function"/>
    <n v="0"/>
    <x v="0"/>
    <x v="0"/>
    <x v="0"/>
    <x v="0"/>
    <x v="1"/>
    <x v="0"/>
    <s v="granularity tree-based scheduling strategy"/>
    <s v="reduced response time and idle memory usage"/>
    <n v="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s v="Banaei A.; Sharifi M."/>
    <s v="ETAS: predictive scheduling of functions on worker nodes of Apache OpenWhisk platform"/>
    <s v="Fast execution of functions is an inevitable challenge in the serverless computing landscape. Inefficient dispatching, fluctuations in invocation rates, burstiness of workloads, and wide range of execution times of serverless functions result in load imbalances and overloading of worker nodes of serverless platforms that impose high latency on invocations. This paper is concentrated on function scheduling within worker nodes of Apache OpenWhisk serverless platform and presents ETAS, a predictive scheduling scheme to reduce response times of invocations besides increasing workers throughputs and resource utilizations. ETAS schedules functions using their execution times, estimated by their previous execution’s history, arrival times, and containers’ status. We have implemented ETAS in Apache OpenWhisk and show that, compared to the OpenWhisk worker scheduler and several queue scheduling schemes, ETAS outperforms others by reducing the average waiting time by 30% and increasing the throughput by 40%. © 2021, The Author(s), under exclusive licence to Springer Science+Business Media, LLC, part of Springer Nature."/>
    <s v="Final"/>
    <s v="Scopus"/>
    <s v="function scheduling IN SERVERLESS COMPUTING"/>
    <n v="0"/>
    <x v="0"/>
    <x v="0"/>
    <x v="0"/>
    <x v="0"/>
    <x v="0"/>
    <x v="0"/>
    <s v="ETAS"/>
    <s v="Reduce response times of invocations besides increasing workers throughputs and resource utilizations"/>
    <n v="1"/>
  </r>
  <r>
    <x v="0"/>
    <s v="Burckhardt, Sebastian; Chandramouli, Badrish; Gillum, Chris; Justo, David; Kallas, Konstantinos; McMahon, Connor; Meiklejohn, Christopher S.; Zhu, Xiangfeng"/>
    <s v="Netherite: efficient execution of serverless workflows"/>
    <s v="Serverless is a popular choice for cloud service architects because it can provide scalability and load-based billing with minimal developer effort. Functions-as-a-service (FaaS) are originally stateless, but emerging frameworks add stateful abstractions. For instance, the widely used Durable Functions (DF) allow developers to write advanced serverless applications, including reliable workflows and actors, in a programming language of choice. DF implicitly and continuosly persists the state and progress of applications, which greatly simplifies development, but can create an IOps bottleneck.To improve efficiency, we introduce Netherite, a novel architecture for executing serverless workflows on an elastic cluster. Netherite groups the numerous application objects into a smaller number of partitions, and pipelines the state persistence of each partition. This improves latency and throughput, as it enables workflow steps to group commit, even if causally dependent. Moreover, Netherite leverages FASTER's hybrid log approach to support larger-than-memory application state, and to enable efficient partition movement between compute hosts.Our evaluation shows that (a) Netherite achieves lower latency and higher throughput than the original DF engine, by more than an order of magnitude in some cases, and (b) that Netherite has lower latency than some commonly used alternatives, like AWS Step Functions or cloud storage triggers."/>
    <s v="Publisher: VLDB Endowment"/>
    <s v="ACM"/>
    <s v="Durable Functions (DF) for serverless application"/>
    <n v="0"/>
    <x v="1"/>
    <x v="0"/>
    <x v="0"/>
    <x v="0"/>
    <x v="0"/>
    <x v="0"/>
    <s v="Netherite"/>
    <s v="improves latency and throughput"/>
    <n v="1"/>
  </r>
  <r>
    <x v="1"/>
    <s v="M. Golec; S. S. Gill; A. K. Parlikad; S. Uhlig"/>
    <s v="HealthFaaS: AI-Based Smart Healthcare System for Heart Patients Using Serverless Computing"/>
    <s v="Heart disease is one of the leading causes of death worldwide, and with early detection, mortality rates can be reduced. Well-known studies have shown that the latest artificial intelligence (AI) can be used to determine the risk of heart disease. However, existing studies did not consider dynamic scalability to get the best performance from these AI models in case of an increasing number of users. To solve this problem, we proposed an AI-powered smart healthcare framework called HealthFaaS, using the Internet of Things (IoT) and a Serverless Computing environment to reduce heart disease-related deaths and prevent financial losses by reducing misdiagnoses. HealthFaaS framework collects health data from users via IoT devices and sends it to AI models deployed on a Google Cloud Platform (GCP)-based serverless computing environment due to its advantages, such as dynamic scalability, less operational complexity, and a pay-as-you-go pricing model. The performance of five different AI models for heart disease risk detection is evaluated and compared based on key parameters, such as accuracy, precision, recall,  $F$ -Score, and AUC. Experimental results demonstrate that the light gradient boosting machine model gives the highest success in detecting heart diseases with an accuracy rate of 91.80%. Further, we have tested the performance of the HealthFaaS framework in terms of Quality-of-Service (QoS) parameters, such as throughput and latency against the increasing number of users and compared it with a non-serverless platform. In addition, we have also evaluated the cold start latency using a serverless platform which determined that the amount of memory and the software language makes a direct impact on the cold start latency."/>
    <s v="Final"/>
    <s v="IEEE Journals"/>
    <s v="AI/ HEALTHCARE / IoT"/>
    <n v="0"/>
    <x v="1"/>
    <x v="1"/>
    <x v="0"/>
    <x v="0"/>
    <x v="0"/>
    <x v="0"/>
    <s v="HealthFaaS"/>
    <s v="Improve throughput and latency, cold start latency"/>
    <n v="1"/>
  </r>
  <r>
    <x v="1"/>
    <s v="Yang, Xinjun; Zhang, Yingqiang; Chen, Hao; Sun, Chuan; Li, Feifei; Zhou, Wenchao"/>
    <s v="PolarDB-SCC: A Cloud-Native Database Ensuring Low Latency for Strongly Consistent Reads"/>
    <s v="A classic design of cloud-native databases adopts an architecture that consists of one read/write (RW) node and one or more read-only (RO) nodes. In such a design, the propagation of write-ahead logs (WALs) from the RW node to the RO node(s) is typically performed asynchronously. Consequently, system designers either have to accept a loose consistency guarantee, where a read from the RO node may return stale data, or tolerate significant performance degradation in terms of read latency, as it then needs to wait for the log to be propagated and applied. Most commercial cloud-native databases, such as Amazon Aurora, choose performance over strong consistency. As a result, it makes RO nodes useless for many applications requiring read-after-write consistency (a form of strong consistency), and the support for serverless databases (i.e., allowing the RO nodes to be scaled out automatically) is impossible as they require a single endpoint.This paper proposes PolarDB-SCC (PolarDB-Strongly Consistent Cluster), a cloud-native database architecture that guarantees strongly consistent reads with very low latency. The core idea is to eliminate unnecessary waits and reduce the necessary wait time on RO nodes while still supporting strong consistency. To achieve this, it tracks the RW node's modification timestamp at three progressively finer-grained levels. We further design a Linear Lamport timestamp to reduce the RO node's timestamp fetching operations and leverage the RDMA network for all the data transferring (e.g., timestamp fetching and log shipment) to minimize network overhead and extra CPU usage. Our evaluation shows that PolarDB-SCC does not incur any noticeable overhead for ensuring strongly consistent reads compared with the eventually consistent (stale) read policy. To the best of our knowledge, PolarDB-SCC is the first &quot;read-write splitting&quot; cloud-native database that supports strongly consistent read with negligible overhead. Compared with a straightforward read-wait design, PolarDB-SCC improves throughput by up to 4.51× and reduces median latency by up to 3.66× in SysBench's read-write workload. PolarDB-SCC is already commercially available at Alibaba Cloud."/>
    <s v="Publisher: VLDB Endowment"/>
    <s v="ACM"/>
    <s v="serverless database"/>
    <n v="0"/>
    <x v="1"/>
    <x v="0"/>
    <x v="0"/>
    <x v="0"/>
    <x v="0"/>
    <x v="0"/>
    <s v=" PolarDB-SCC (PolarDB-Strongly Consistent Cluster)"/>
    <s v="minimize network overhead and extra CPU usage"/>
    <n v="1"/>
  </r>
  <r>
    <x v="2"/>
    <s v="Karim S.; Qureshi K.N.; Ibrahim A.O.; Abulfaraj A.W.; Ghafoor K.Z."/>
    <s v="Enhanced centroid-based energy-efficient clustering routing protocol for serverless based wireless sensor networks"/>
    <s v="Serverless computing is a new concept as cloud computing, which dynamically manages the networks and is applied in Serverless Wireless Sensor Networks (SWSN) to help the networks. These networks are becoming famous for monitoring various physical and environmental factors. Serverless computing also facilitates the networks by offering an extensive range of applications. Different applications have been designed for monitoring purposes where the sensor nodes sense the data and transmit it to the base station through single or multi-hop routing. However, existing routing protocols cannot manage the sensor nodes’ energy issues because of the complex routing processes and depleted their power before their time. Because of these limitations, the nodes close to BS continuously rely on the network for data forwarding. As a result, these nodes cause energy consumption and lead to a useless state. This paper proposes a serverless architecture and designs an Enhanced Centroid-based Energy Efficient Clustering (ECEEC) protocol for SWSN networks. The proposed serverless architecture provides automated scalability, cost-effective services, and stateless execution. In addition, the proposed protocol offers the cluster head selection and its rotation to maximize the energy efficiency in the network. Furthermore, gateway nodes are chosen in every cluster to overcome the load on the cluster head. Simulation results indicated the excellent performance of the proposed protocol as compared to the existing routing protocols concerning network lifetime and energy consumption. The proposed protocol shows better reliability with nodes failing at 650 rounds compared to 600 rounds, especially with 5 % and 10 % Cluster Heads. The proposed protocol exhibits superior energy efficiency consumption of SNs under varying CH percentages, indicating the protocol's consistent performance across different scenarios. © 2024 The Author(s)"/>
    <s v="Final"/>
    <s v="Scopus"/>
    <s v="Serverless computing"/>
    <n v="0"/>
    <x v="1"/>
    <x v="0"/>
    <x v="0"/>
    <x v="1"/>
    <x v="1"/>
    <x v="0"/>
    <s v="(ECEEC) Enhanced Centroid-based Energy Efficient Clustering "/>
    <s v="better reliability, superior energy efficiency consumption of SNs under varying CH percentages"/>
    <n v="1"/>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s v="Sen R.; Jindal A.; Patel H.; Qiao S."/>
    <s v="AutoToken: Predicting Peak Parallelism for Big Data Analytics at Microsoft"/>
    <s v="Right-sizing resource allocation for big-data queries, particularly in serverless environments, is critical for improving infrastructure operational efficiency, capacity availability, query performance predictability, and for reducing unnecessary wait times. In this paper, we present AutoToken — a simple and effective predictor for estimating the peak resource usage of recurring big data queries. It uses multiple query plan identifiers to identify recurring query templates and to learn models with the goal of reducing over-allocation in future instances of those queries. AutoToken is computationally light, for both training and scoring, is easily deployable at scale, and is integrated with the Peregrine workload optimization infrastructure at Microsoft. We extensively evaluate AutoToken on SCOPE jobs from our production clusters and show that it outperforms state-of-the-art solutions for peak resource estimation. We also discuss our plans towards supporting repeatable and extensible research on resource prediction for SCOPE jobs, including describing a simulation methodology for generating arbitrary-sized datasets with similar characteristics as the production datasets. © VLDB Endowment. All rights reserved."/>
    <s v="Final"/>
    <s v="Scopus"/>
    <s v="Big data on Serverless platform"/>
    <n v="0"/>
    <x v="0"/>
    <x v="0"/>
    <x v="0"/>
    <x v="0"/>
    <x v="0"/>
    <x v="0"/>
    <x v="0"/>
    <s v="AutoToken"/>
    <s v="reducing unnecessary wait times / reducing over-allocation"/>
    <n v="1"/>
  </r>
  <r>
    <x v="1"/>
    <s v="Mahgoub, A; Yi, EB; Shankar, K; Minocha, E; Elnikety, S; Bagchi, S; Chaterji, S"/>
    <s v="WiseFuse: Workload Characterization and DAG Transformation for ServerlessWorkflows"/>
    <s v="We characterize production workloads of serverless DAGs at a major cloud provider. Our analysis highlights two major factors that limit performance: (a) lack of efficient communication methods between the serverless functions in the DAG, and (b) stragglers when a DAG stage invokes a set of parallel functions that must complete before starting the next DAG stage. To address these limitations, we propose WiseFuse, an automated approach to generate an optimized execution plan for serverless DAGs for a user-specified latency objective (SLO) or cost budget. We introduce three optimizations: (1) Fusion combines in-series functions together in a single VM to reduce the communication overhead between cascaded functions. (2) Bundling executes a group of parallel invocations of a function in one VM to improve resource sharing among the parallel invocations to reduce skew. (3) Resource Allocation assigns the right size to each VM hosting a function or a group of functions to reduce the latency and cost of invoking the serverless DAG. We implement WiseFuse and evaluate it experimentally using three serverless applications, namely, Video Analytics, Approximate SVD, and ML Analytics, which span different DAG structures, memory footprints, and intermediate data sizes. In comparison to competing approaches, WiseFuse shows significant improvements in E2E latency and cost. Specifically, for the ML pipeline, WiseFuse achieves a P95 latency that is 67% lower than Photons [SoCC-20], 39% lower than Faastlane [USENIX ATC-21], and 90% lower than Sonic [USENIX ATC-21], without increasing the $ cost."/>
    <s v="Final"/>
    <s v="Web of Science"/>
    <s v="serverless DAG"/>
    <n v="0"/>
    <x v="0"/>
    <x v="0"/>
    <x v="1"/>
    <x v="0"/>
    <x v="1"/>
    <x v="0"/>
    <x v="0"/>
    <s v=" WiseFuse "/>
    <s v=" reduce the communication overhead between cascaded functions"/>
    <n v="3"/>
  </r>
  <r>
    <x v="2"/>
    <s v="Li M.; Zhang J.; Lin J.; Chen Z.; Zheng X."/>
    <s v="FireFace: Leveraging Internal Function Features for Configuration of Functions on Serverless Edge Platforms"/>
    <s v="The emerging serverless computing has become a captivating paradigm for deploying cloud applications, alleviating developers’ concerns about infrastructure resource management by configuring necessary parameters such as latency and memory constraints. Existing resource configuration solutions for cloud-based serverless applications can be broadly classified into modeling based on historical data or a combination of sparse measurements and interpolation/modeling. In pursuit of service response and conserving network bandwidth, platforms have progressively expanded from the traditional cloud to the edge. Compared to cloud platforms, serverless edge platforms often lead to more running overhead due to their limited resources, resulting in undesirable financial costs for developers when using the existing solutions. Meanwhile, it is extremely challenging to handle the heterogeneity of edge platforms, characterized by distinct pricing owing to their varying resource preferences. To tackle these challenges, we propose an adaptive and efficient approach called FireFace, consisting of prediction and decision modules. The prediction module extracts the internal features of all functions within the serverless application and uses this information to predict the execution time of the functions under specific configuration schemes. Based on the prediction module, the decision module analyzes the environment information and uses the Adaptive Particle Swarm Optimization algorithm and Genetic Algorithm Operator (APSO-GA) algorithm to select the most suitable configuration plan for each function, including CPU, memory, and edge platforms. In this way, it is possible to effectively minimize the financial overhead while fulfilling the Service Level Objectives (SLOs). Extensive experimental results show that our prediction model obtains optimal results under all three metrics, and the prediction error rate for real-world serverless applications is in the range of 4.25∼9.51%. Our approach can find the optimal resource configuration scheme for each application, which saves 7.2∼44.8% on average compared to other classic algorithms. Moreover, FireFace exhibits rapid adaptability, efficiently adjusting resource allocation schemes in response to dynamic environments. © 2023 by the authors."/>
    <s v="Final"/>
    <s v="Scopus"/>
    <s v="serverless edge"/>
    <n v="0"/>
    <x v="1"/>
    <x v="0"/>
    <x v="1"/>
    <x v="1"/>
    <x v="0"/>
    <x v="0"/>
    <x v="0"/>
    <s v="(APSO-GA) Adaptive Particle Swarm Optimization algorithm and Genetic Algorithm Operator"/>
    <s v="select the most suitable configuration plan for each function, including CPU, memory, and edge platforms"/>
    <n v="2"/>
  </r>
  <r>
    <x v="3"/>
    <s v="Sahaya Sakila V.; Manohar S."/>
    <s v="Real-time air quality monitoring in Bull Trench Kiln-based Brick industry by calibrating sensor readings and utilizing the Serverless Computing"/>
    <s v="Bull Trench Kiln-based Brick industries are major contributors of Particulate Matter Pollutants (PM2.5 and PM10), which leads to deterioration of air quality, and hence needs to be monitored. As the static air monitoring stations require huge infrastructure and are sparsely located, it is necessary to find alternate ways using recent technologies like IoT, Machine Learning, and Serverless Computing. IoT devices being low cost and portable could be deployed near brick industries, however, they are sensitive to fluctuating ambient air temperature or humidity and hence have to be calibrated and there is a need for powerful back-end infrastructures for storage and analyses of data. The existing approach of transmitting IoT-based data to the cloud is time-consuming, energy inefficient, prone to scaling problems, has poor resource utilization, and is expensive. In this study, the IoT data are calibrated using ML Classifier algorithms and an Automatic Function Triggerer - Function-as-a-Service (AFT-FaaS) method is proposed, which is based on event-driven, Serverless method using AWS Lambda along with the Three-Tier Serverless architecture (Edge Tier, Fog Tire, and Cloud Tier) to deal with the challenges of delay, under-resource allocation, and to reduce the expenditures. The data transmitted to the cloud using the proposed AFT-FaaS method are indexed in ElasticSearch and Kibana is used for the analysis and visualization of data. While performing calibration, Random Forest Classifier was chosen as it had accuracy of above 98%. Finally, an in-depth pricing analysis is performed to better understand the difference between different configurations deployed for Serverless and non-Serverless Computing methods, which shows there is a significant reduction (7 times) of expenses incurred while using Serverless Computing than the non-Serverless Computing methods. © 2023 Elsevier Ltd"/>
    <s v="Final"/>
    <s v="Scopus"/>
    <s v="ML /IoT/Edge/fog"/>
    <n v="0"/>
    <x v="0"/>
    <x v="0"/>
    <x v="1"/>
    <x v="0"/>
    <x v="1"/>
    <x v="0"/>
    <x v="0"/>
    <s v="(AFT-FaaS)  Automatic Function Triggerer - Function-as-a-Service"/>
    <s v="Improve delay, under-resource allocation, and to reduce the expenditures"/>
    <n v="3"/>
  </r>
  <r>
    <x v="3"/>
    <s v="Katare, D; Marin, E; Kourtellis, N; Janssen, M; Ding, AY"/>
    <s v="ARASEC: Adaptive Resource Allocation and Model Training for Serverless EdgeCloud Computing"/>
    <s v="Developing and deploying resource-aware artificial intelligence (AI) models presents a compelling optimization challenge in edge computing and serverless domains. Current research focuses mainly on scalable training and inference that uses serverless frameworks to optimize operational costs. However, these approaches often overlook the challenges of heterogeneous-aware training and overall cost optimization, including computing, memory, and communication. Our work introduces a framework for a heterogeneous edge environment, focusing on the model and key performance metrics like accuracy, floating-point operations per second, number of parameters, and latency. This framework enables distributed training within a serverless architecture. Further, it explores the construction of machine learning models from existing serverless functions using a lookup table while estimating AI model training in edge, cloud, or hybrid settings. We test the framework on object detection tasks in AI model development and deployment by using serverless operations."/>
    <s v="Final"/>
    <s v="Web of Science"/>
    <s v="ML /AI / edge computing"/>
    <n v="0"/>
    <x v="0"/>
    <x v="0"/>
    <x v="1"/>
    <x v="1"/>
    <x v="1"/>
    <x v="0"/>
    <x v="0"/>
    <s v=" a framework for a heterogeneous edge environment"/>
    <s v="enables distributed training within a serverless architecture"/>
    <n v="2"/>
  </r>
  <r>
    <x v="3"/>
    <s v="Mahdizadeh S.H.; Abrishami S."/>
    <s v="An assignment mechanism for workflow scheduling in Function as a Service edge environment"/>
    <s v="Serverless computing has revolutionized cloud-based software development for software developers, addressing many of the associated challenges. With resource management and infrastructure provisioning handled by the provider, developers can focus on deploying services at the application level, which has gained significant popularity. Edge computing, with its proximity to end-users and ability to offer low-cost, high-speed services, has emerged as a promising solution for latency-sensitive applications. By providing Function-as-a-Service (FaaS) capabilities at the network edge, it becomes easier to leverage the available edge capacity. However, edge servers have limited capacity to provide FaaS services, and user access is typically restricted to their geographic region. This presents a challenge in achieving optimal resource allocation in a multi-user environment, given the dynamic and unpredictable nature of edge computing. To address these challenges, we have proposed a dynamic resource provisioning and allocation approach for Edge FaaS. Our approach models the application structure as a directed acyclic graph, representing a workflow of computational functions. Drawing inspiration from the many-to-many assignment mechanism used in the course allocation problem, we have developed a mechanism to assign multi-user workflows to the limited Edge FaaS resources. This mechanism considers the priority of users’ ready tasks, determined by upward rank, with the goal of reducing workflow execution time. Additionally, we have proposed two methods for on-demand provisioning: the Highest Bid First Mechanism (HBFM) and the Warm Function First Mechanism (WFFM). Experimental results have shown that the proposed resource allocation methods effectively allocate limited resources to users, leading to reduced workflow completion time. © 2024 Elsevier B.V."/>
    <s v="Final"/>
    <s v="Scopus"/>
    <s v="Serverless computing /Edge FaaS"/>
    <n v="0"/>
    <x v="1"/>
    <x v="0"/>
    <x v="0"/>
    <x v="1"/>
    <x v="1"/>
    <x v="0"/>
    <x v="0"/>
    <s v="(HBFM) Highest Bid First Mechanism and (WFFM) the Warm Function First Mechanism"/>
    <s v="Reduced workflow completion time"/>
    <n v="2"/>
  </r>
  <r>
    <x v="4"/>
    <s v="Daraghmeh M.; Jararweh Y.; Agarwal A."/>
    <s v="Leveraging machine learning and feature engineering for optimal data-driven scaling decision in serverless computing"/>
    <s v="Serverless computing offers scalability and cost-efficiency, but balancing performance and cost remains challenging, particularly in scaling decisions that can lead to cold starts or resource misallocation. This research is motivated by the need to minimize the impact of cold starts and optimize resource utilization in serverless applications by developing intelligent, data-driven scaling decisions. We delve into using machine learning and feature engineering to model and simulate predictions for optimal scaling decisions for Azure Function Apps (AFA). Our focus lies in predicting the ideal timing for provisioning or de-provisioning the Function App's environment. Using historical invocation data, we applied a sliding window to transform the time-series data into patterns categorized as load or unload classes, considering various target periods. To identify the most effective model, we compared the performance of various baseline models with and without calibration (isotonic and sigmoid) to enhance precision. In addition, we assess multiple feature extraction methods in invocation patterns and explore the use of Principal Component Analysis (PCA) for dimensionality reduction to reduce computation costs. Using the best-identified configurations, we model and simulate the class patterns over time to compare the actual classes with the predicted ones, focusing on memory usage and the costs associated with cold starts. The proposed model is thoroughly evaluated using various metrics under different setups, revealing notable improvements in scaling decisions achieved by applying calibration and feature engineering methods. These findings demonstrate the potential of machine learning for intelligent, data-driven scaling decisions in serverless computing, offering valuable insights for cloud providers to optimize resource allocation and for developers to build more efficient and responsive serverless applications. Specifically, the proposed method can be integrated into serverless platforms to automatically adjust resource provisioning based on predicted workload demands, reducing cold start latency and improving cost-effectiveness. © 2025 The Authors"/>
    <s v="Final"/>
    <s v="Scopus"/>
    <s v="ML"/>
    <n v="0"/>
    <x v="0"/>
    <x v="1"/>
    <x v="1"/>
    <x v="0"/>
    <x v="1"/>
    <x v="0"/>
    <x v="0"/>
    <s v="not mentioned "/>
    <s v=" optimize resource allocation and for developers to build more efficient and responsive serverless applications"/>
    <n v="4"/>
  </r>
  <r>
    <x v="4"/>
    <s v="Akour, Mohammed; Alenezi, Mamdouh"/>
    <s v="Reducing Environmental Impact with Sustainable Serverless Computing"/>
    <s v="Serverless computing has emerged as a transformative paradigm in cloud computing, offering scalability, cost efficiency, and potential environmental benefits. By abstracting infrastructure management and enabling on-demand resource allocation, serverless computing minimizes idle resource consumption and reduces operational overhead. This paper critically examines the sustainability implications of serverless computing, evaluating its impact on energy efficiency, resource utilization, and carbon emissions through empirical studies and a survey of cloud professionals. Our findings indicate that serverless computing significantly reduces energy consumption by up to 70% and operational costs by up to 60%, reinforcing its role in green IT initiatives. However, real-world deployments face challenges such as cold-start latency and workload-dependent inefficiencies, which impact overall sustainability benefits. To address these challenges, we propose strategic recommendations, including fine-grained function decomposition, energy-efficient cloud provider selection, and AI-driven resource management. Additionally, we highlight discrepancies between empirical research and practitioner experiences, emphasizing the need for optimized architectures in order to fully harness the sustainability potential of serverless computing. This study provides a foundation for future research, particularly in integrating machine learning and AI-driven optimizations to enhance energy efficiency and performance in serverless environments."/>
    <s v="Sustainability"/>
    <s v="MDPI"/>
    <s v="ML"/>
    <n v="0"/>
    <x v="0"/>
    <x v="0"/>
    <x v="1"/>
    <x v="1"/>
    <x v="1"/>
    <x v="0"/>
    <x v="0"/>
    <s v="fine-grained function decomposition, energy-efficient cloud provider selection, and AI-driven resource management"/>
    <s v="reduces energy consumption and operational costs"/>
    <n v="2"/>
  </r>
  <r>
    <x v="4"/>
    <s v="J. R. Corporan; A. Bahga; V. K. Madisetti"/>
    <s v="Function Delivery Network: A Spatial-Temporal Execution Orchestrator for Optimizing Serverless Computing"/>
    <s v="We present Function Delivery Network (FDN), a novel spatial-temporal execution orchestrator designed to address key limitations in current serverless computing models. The FDN introduces several innovations, including a multi-tenant serverless model, a secure and reusable functional context, and distributed shared memory, to optimize resource allocation and improve performance in high-concurrency and globally distributed scenarios. We implement the FDN on a major cloud platform and evaluate its performance against traditional Function-as-a-Service (FaaS) execution using a variety of benchmark functions. Our results demonstrate significant improvements in resource utilization, execution time, and request completion rates. The FDN reduces function instance allocation by up to 97.82%, improves median response times by 45.45%, and maintains higher request completion rates at high concurrency levels compared to native FaaS execution. The FDNâ€™s adaptive execution window mechanism allows for fine-tuned optimization based on function characteristics and workload patterns. This approach effectively addresses challenges such as cold starts, inefficient resource allocation, and scalability limitations in current serverless platforms. By providing a more efficient and scalable model for serverless computing, the FDN enables more cost-effective and performant cloud-native applications, particularly in scenarios involving high concurrency and global distribution."/>
    <s v="Final"/>
    <s v="IEEE Journals"/>
    <s v="serverless computing"/>
    <n v="0"/>
    <x v="1"/>
    <x v="1"/>
    <x v="0"/>
    <x v="0"/>
    <x v="0"/>
    <x v="0"/>
    <x v="0"/>
    <s v=" (FDN) Function Delivery Network"/>
    <s v="improvements in resource utilization, execution time, and request completion rates"/>
    <n v="3"/>
  </r>
  <r>
    <x v="4"/>
    <s v="Salcedo-Navarro A.; Peña-Ortiz R.; Claver J.M.; Garcia-Pineda M.; Gutiérrez-Aguado J."/>
    <s v="Towards GPU-enabled serverless cloud edge platforms for accelerating HEVC video coding"/>
    <s v="Multimedia streaming has become integral to modern living, reshaping entertainment consumption, information access, and global engagement. The ascent of cloud computing, particularly serverless architectures, plays a pivotal role in this transformation, offering dynamic resource allocation, parallel execution, and automatic scaling-especially beneficial in HTTP Adaptive Streaming (HAS) applications. This study presents an event-driven serverless cloud edge platform with graphics processing units (GPUs), managed by Knative, tailored for video encoding. Two implementations of the High Efficiency Video Coding (HEVC) codec have been encapsulated in the functions: HEVC NVENC (Nvidia Encoder), that uses GPU acceleration, and x265 that only uses CPUs. Experiments focused on measuring the impact of replica requested resources on cold start, scalability and resource consumption with different allocated resources on slim and fat virtual machines (VMs). The best results are obtained when four slim replicas of the functions are deployed on a fat VM with a 8.4% reduction in encoding time for x265 and a 15.2% improvement for HEVC NVENC compared with other deployment scenarios. Comparatively, HEVC NVENC encoding is 8.3 times faster than x265. In multiresolution scenarios, GPU encoding drastically reduces segment encoding time by a factor of 12.4 between non-GPU and GPU-accelerated. These findings are important for live streaming applications where low latency is critical at all stages of the streaming process. © The Author(s) 2024."/>
    <s v="Final"/>
    <s v="Scopus"/>
    <s v="Multimedia/video codeing "/>
    <n v="0"/>
    <x v="0"/>
    <x v="1"/>
    <x v="1"/>
    <x v="1"/>
    <x v="0"/>
    <x v="0"/>
    <x v="0"/>
    <s v="(HEVC) High Efficiency Video Coding"/>
    <s v=" low latency "/>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3:Y10" firstHeaderRow="0" firstDataRow="1" firstDataCol="1"/>
  <pivotFields count="17">
    <pivotField axis="axisRow" showAll="0">
      <items count="7">
        <item x="0"/>
        <item x="1"/>
        <item x="2"/>
        <item x="3"/>
        <item x="4"/>
        <item x="5"/>
        <item t="default"/>
      </items>
    </pivotField>
    <pivotField showAll="0">
      <items count="46">
        <item x="44"/>
        <item x="19"/>
        <item x="14"/>
        <item x="3"/>
        <item x="5"/>
        <item x="25"/>
        <item x="10"/>
        <item x="22"/>
        <item x="39"/>
        <item x="1"/>
        <item x="23"/>
        <item x="37"/>
        <item x="26"/>
        <item x="34"/>
        <item x="0"/>
        <item x="41"/>
        <item x="4"/>
        <item x="42"/>
        <item x="20"/>
        <item x="29"/>
        <item x="32"/>
        <item x="21"/>
        <item x="2"/>
        <item x="38"/>
        <item x="13"/>
        <item x="11"/>
        <item x="35"/>
        <item x="12"/>
        <item x="7"/>
        <item x="40"/>
        <item x="27"/>
        <item x="43"/>
        <item x="8"/>
        <item x="31"/>
        <item x="36"/>
        <item x="9"/>
        <item x="24"/>
        <item x="28"/>
        <item x="6"/>
        <item x="33"/>
        <item x="30"/>
        <item x="15"/>
        <item x="18"/>
        <item x="16"/>
        <item x="17"/>
        <item t="default"/>
      </items>
    </pivotField>
    <pivotField showAll="0">
      <items count="47">
        <item x="41"/>
        <item x="10"/>
        <item x="18"/>
        <item x="22"/>
        <item x="44"/>
        <item x="31"/>
        <item x="33"/>
        <item x="2"/>
        <item x="40"/>
        <item x="0"/>
        <item x="20"/>
        <item x="29"/>
        <item x="23"/>
        <item x="34"/>
        <item x="35"/>
        <item x="9"/>
        <item x="30"/>
        <item x="36"/>
        <item x="27"/>
        <item x="6"/>
        <item x="28"/>
        <item x="12"/>
        <item x="14"/>
        <item x="17"/>
        <item x="13"/>
        <item x="25"/>
        <item x="38"/>
        <item x="3"/>
        <item x="26"/>
        <item x="11"/>
        <item x="7"/>
        <item x="5"/>
        <item x="19"/>
        <item x="16"/>
        <item x="32"/>
        <item x="39"/>
        <item x="21"/>
        <item x="45"/>
        <item x="24"/>
        <item x="43"/>
        <item x="42"/>
        <item x="37"/>
        <item x="15"/>
        <item x="4"/>
        <item x="1"/>
        <item x="8"/>
        <item t="default"/>
      </items>
    </pivotField>
    <pivotField showAll="0"/>
    <pivotField showAll="0"/>
    <pivotField showAll="0"/>
    <pivotField showAll="0"/>
    <pivotField showAll="0"/>
    <pivotField dataField="1" showAll="0">
      <items count="3">
        <item x="1"/>
        <item x="0"/>
        <item t="default"/>
      </items>
    </pivotField>
    <pivotField dataField="1" showAll="0">
      <items count="3">
        <item x="1"/>
        <item x="0"/>
        <item t="default"/>
      </items>
    </pivotField>
    <pivotField dataField="1" showAll="0">
      <items count="2">
        <item x="0"/>
        <item t="default"/>
      </items>
    </pivotField>
    <pivotField dataField="1" showAll="0">
      <items count="3">
        <item x="1"/>
        <item x="0"/>
        <item t="default"/>
      </items>
    </pivotField>
    <pivotField dataField="1" showAll="0">
      <items count="3">
        <item x="1"/>
        <item x="0"/>
        <item t="default"/>
      </items>
    </pivotField>
    <pivotField dataField="1" showAll="0">
      <items count="3">
        <item x="1"/>
        <item x="0"/>
        <item t="default"/>
      </items>
    </pivotField>
    <pivotField showAll="0"/>
    <pivotField showAll="0"/>
    <pivotField showAll="0"/>
  </pivotFields>
  <rowFields count="1">
    <field x="0"/>
  </rowFields>
  <rowItems count="7">
    <i>
      <x/>
    </i>
    <i>
      <x v="1"/>
    </i>
    <i>
      <x v="2"/>
    </i>
    <i>
      <x v="3"/>
    </i>
    <i>
      <x v="4"/>
    </i>
    <i>
      <x v="5"/>
    </i>
    <i t="grand">
      <x/>
    </i>
  </rowItems>
  <colFields count="1">
    <field x="-2"/>
  </colFields>
  <colItems count="6">
    <i>
      <x/>
    </i>
    <i i="1">
      <x v="1"/>
    </i>
    <i i="2">
      <x v="2"/>
    </i>
    <i i="3">
      <x v="3"/>
    </i>
    <i i="4">
      <x v="4"/>
    </i>
    <i i="5">
      <x v="5"/>
    </i>
  </colItems>
  <dataFields count="6">
    <dataField name="Count of Latency (L)" fld="10" subtotal="count" baseField="0" baseItem="0"/>
    <dataField name="Count of Cost /Price (c)2" fld="12" subtotal="count" baseField="0" baseItem="0"/>
    <dataField name="Count of Cold start (S)" fld="9" subtotal="count" baseField="0" baseItem="0"/>
    <dataField name="Count of Execution Time (T)" fld="8" subtotal="count" baseField="0" baseItem="0"/>
    <dataField name="Count of Workload (W)" fld="11" subtotal="count" baseField="0" baseItem="0"/>
    <dataField name="Count of Throughput (P)" fld="13" subtotal="count" baseField="0" baseItem="0"/>
  </dataFields>
  <formats count="16">
    <format dxfId="322">
      <pivotArea type="all" dataOnly="0" outline="0" fieldPosition="0"/>
    </format>
    <format dxfId="321">
      <pivotArea outline="0" collapsedLevelsAreSubtotals="1" fieldPosition="0"/>
    </format>
    <format dxfId="320">
      <pivotArea field="1" type="button" dataOnly="0" labelOnly="1" outline="0"/>
    </format>
    <format dxfId="319">
      <pivotArea dataOnly="0" labelOnly="1" grandRow="1" outline="0" fieldPosition="0"/>
    </format>
    <format dxfId="318">
      <pivotArea dataOnly="0" labelOnly="1" outline="0" fieldPosition="0">
        <references count="1">
          <reference field="4294967294" count="6">
            <x v="0"/>
            <x v="1"/>
            <x v="2"/>
            <x v="3"/>
            <x v="4"/>
            <x v="5"/>
          </reference>
        </references>
      </pivotArea>
    </format>
    <format dxfId="317">
      <pivotArea type="all" dataOnly="0" outline="0" fieldPosition="0"/>
    </format>
    <format dxfId="316">
      <pivotArea outline="0" collapsedLevelsAreSubtotals="1" fieldPosition="0"/>
    </format>
    <format dxfId="315">
      <pivotArea dataOnly="0" labelOnly="1" grandRow="1" outline="0" fieldPosition="0"/>
    </format>
    <format dxfId="314">
      <pivotArea field="1" type="button" dataOnly="0" labelOnly="1" outline="0"/>
    </format>
    <format dxfId="313">
      <pivotArea dataOnly="0" labelOnly="1" outline="0" fieldPosition="0">
        <references count="1">
          <reference field="4294967294" count="6">
            <x v="0"/>
            <x v="1"/>
            <x v="2"/>
            <x v="3"/>
            <x v="4"/>
            <x v="5"/>
          </reference>
        </references>
      </pivotArea>
    </format>
    <format dxfId="312">
      <pivotArea type="all" dataOnly="0" outline="0" fieldPosition="0"/>
    </format>
    <format dxfId="311">
      <pivotArea outline="0" collapsedLevelsAreSubtotals="1" fieldPosition="0"/>
    </format>
    <format dxfId="310">
      <pivotArea field="0" type="button" dataOnly="0" labelOnly="1" outline="0" axis="axisRow" fieldPosition="0"/>
    </format>
    <format dxfId="309">
      <pivotArea dataOnly="0" labelOnly="1" fieldPosition="0">
        <references count="1">
          <reference field="0" count="0"/>
        </references>
      </pivotArea>
    </format>
    <format dxfId="308">
      <pivotArea dataOnly="0" labelOnly="1" grandRow="1" outline="0" fieldPosition="0"/>
    </format>
    <format dxfId="307">
      <pivotArea dataOnly="0" labelOnly="1" outline="0" fieldPosition="0">
        <references count="1">
          <reference field="429496729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3:Z10" firstHeaderRow="0" firstDataRow="1" firstDataCol="1"/>
  <pivotFields count="17">
    <pivotField axis="axisRow" showAll="0">
      <items count="7">
        <item x="0"/>
        <item x="1"/>
        <item x="2"/>
        <item x="3"/>
        <item x="4"/>
        <item x="5"/>
        <item t="default"/>
      </items>
    </pivotField>
    <pivotField showAll="0"/>
    <pivotField showAll="0"/>
    <pivotField showAll="0"/>
    <pivotField showAll="0"/>
    <pivotField showAll="0"/>
    <pivotField showAll="0"/>
    <pivotField showAll="0"/>
    <pivotField dataField="1" showAll="0">
      <items count="3">
        <item x="1"/>
        <item x="0"/>
        <item t="default"/>
      </items>
    </pivotField>
    <pivotField dataField="1" showAll="0">
      <items count="3">
        <item x="1"/>
        <item x="0"/>
        <item t="default"/>
      </items>
    </pivotField>
    <pivotField dataField="1" showAll="0">
      <items count="3">
        <item x="1"/>
        <item x="0"/>
        <item t="default"/>
      </items>
    </pivotField>
    <pivotField dataField="1" showAll="0">
      <items count="3">
        <item x="1"/>
        <item x="0"/>
        <item t="default"/>
      </items>
    </pivotField>
    <pivotField dataField="1" showAll="0">
      <items count="2">
        <item x="0"/>
        <item t="default"/>
      </items>
    </pivotField>
    <pivotField dataField="1" showAll="0">
      <items count="3">
        <item x="1"/>
        <item x="0"/>
        <item t="default"/>
      </items>
    </pivotField>
    <pivotField showAll="0"/>
    <pivotField showAll="0"/>
    <pivotField showAll="0"/>
  </pivotFields>
  <rowFields count="1">
    <field x="0"/>
  </rowFields>
  <rowItems count="7">
    <i>
      <x/>
    </i>
    <i>
      <x v="1"/>
    </i>
    <i>
      <x v="2"/>
    </i>
    <i>
      <x v="3"/>
    </i>
    <i>
      <x v="4"/>
    </i>
    <i>
      <x v="5"/>
    </i>
    <i t="grand">
      <x/>
    </i>
  </rowItems>
  <colFields count="1">
    <field x="-2"/>
  </colFields>
  <colItems count="6">
    <i>
      <x/>
    </i>
    <i i="1">
      <x v="1"/>
    </i>
    <i i="2">
      <x v="2"/>
    </i>
    <i i="3">
      <x v="3"/>
    </i>
    <i i="4">
      <x v="4"/>
    </i>
    <i i="5">
      <x v="5"/>
    </i>
  </colItems>
  <dataFields count="6">
    <dataField name="Count of Cost /Price (c)" fld="12" subtotal="count" baseField="0" baseItem="0"/>
    <dataField name="Count of Latency (L)" fld="10" subtotal="count" baseField="0" baseItem="0"/>
    <dataField name="Count of Workload (W)" fld="11" subtotal="count" baseField="0" baseItem="0"/>
    <dataField name="Count of Execution Time (T)" fld="8" subtotal="count" baseField="0" baseItem="0"/>
    <dataField name="Count of Cold start (S)" fld="9" subtotal="count" baseField="0" baseItem="0"/>
    <dataField name="Count of Throughput (P)" fld="13" subtotal="count" baseField="0" baseItem="0"/>
  </dataFields>
  <formats count="6">
    <format dxfId="286">
      <pivotArea type="all" dataOnly="0" outline="0" fieldPosition="0"/>
    </format>
    <format dxfId="285">
      <pivotArea outline="0" collapsedLevelsAreSubtotals="1" fieldPosition="0"/>
    </format>
    <format dxfId="284">
      <pivotArea field="0" type="button" dataOnly="0" labelOnly="1" outline="0" axis="axisRow" fieldPosition="0"/>
    </format>
    <format dxfId="283">
      <pivotArea dataOnly="0" labelOnly="1" fieldPosition="0">
        <references count="1">
          <reference field="0" count="0"/>
        </references>
      </pivotArea>
    </format>
    <format dxfId="282">
      <pivotArea dataOnly="0" labelOnly="1" grandRow="1" outline="0" fieldPosition="0"/>
    </format>
    <format dxfId="281">
      <pivotArea dataOnly="0" labelOnly="1" outline="0" fieldPosition="0">
        <references count="1">
          <reference field="429496729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3:Z10" firstHeaderRow="0" firstDataRow="1" firstDataCol="1"/>
  <pivotFields count="17">
    <pivotField axis="axisRow" showAll="0">
      <items count="7">
        <item x="0"/>
        <item x="1"/>
        <item x="2"/>
        <item x="3"/>
        <item x="4"/>
        <item x="5"/>
        <item t="default"/>
      </items>
    </pivotField>
    <pivotField showAll="0"/>
    <pivotField showAll="0"/>
    <pivotField showAll="0"/>
    <pivotField showAll="0"/>
    <pivotField showAll="0"/>
    <pivotField showAll="0"/>
    <pivotField showAll="0"/>
    <pivotField dataField="1" showAll="0">
      <items count="2">
        <item x="0"/>
        <item t="default"/>
      </items>
    </pivotField>
    <pivotField dataField="1" showAll="0">
      <items count="3">
        <item x="1"/>
        <item x="0"/>
        <item t="default"/>
      </items>
    </pivotField>
    <pivotField dataField="1" showAll="0">
      <items count="3">
        <item x="1"/>
        <item x="0"/>
        <item t="default"/>
      </items>
    </pivotField>
    <pivotField dataField="1" showAll="0">
      <items count="3">
        <item x="1"/>
        <item x="0"/>
        <item t="default"/>
      </items>
    </pivotField>
    <pivotField dataField="1" showAll="0">
      <items count="3">
        <item x="1"/>
        <item x="0"/>
        <item t="default"/>
      </items>
    </pivotField>
    <pivotField dataField="1" showAll="0">
      <items count="3">
        <item x="1"/>
        <item x="0"/>
        <item t="default"/>
      </items>
    </pivotField>
    <pivotField showAll="0"/>
    <pivotField showAll="0"/>
    <pivotField showAll="0"/>
  </pivotFields>
  <rowFields count="1">
    <field x="0"/>
  </rowFields>
  <rowItems count="7">
    <i>
      <x/>
    </i>
    <i>
      <x v="1"/>
    </i>
    <i>
      <x v="2"/>
    </i>
    <i>
      <x v="3"/>
    </i>
    <i>
      <x v="4"/>
    </i>
    <i>
      <x v="5"/>
    </i>
    <i t="grand">
      <x/>
    </i>
  </rowItems>
  <colFields count="1">
    <field x="-2"/>
  </colFields>
  <colItems count="6">
    <i>
      <x/>
    </i>
    <i i="1">
      <x v="1"/>
    </i>
    <i i="2">
      <x v="2"/>
    </i>
    <i i="3">
      <x v="3"/>
    </i>
    <i i="4">
      <x v="4"/>
    </i>
    <i i="5">
      <x v="5"/>
    </i>
  </colItems>
  <dataFields count="6">
    <dataField name="Count of Execution Time (T)" fld="8" subtotal="count" baseField="0" baseItem="0"/>
    <dataField name="Count of Latency (L)" fld="10" subtotal="count" baseField="0" baseItem="0"/>
    <dataField name="Count of Workload (W)" fld="11" subtotal="count" baseField="0" baseItem="0"/>
    <dataField name="Count of Cost /Price (c)" fld="12" subtotal="count" baseField="0" baseItem="0"/>
    <dataField name="Count of Cold start (S)" fld="9" subtotal="count" baseField="0" baseItem="0"/>
    <dataField name="Count of Throughput (P)" fld="13" subtotal="count" baseField="0" baseItem="0"/>
  </dataFields>
  <formats count="6">
    <format dxfId="260">
      <pivotArea type="all" dataOnly="0" outline="0" fieldPosition="0"/>
    </format>
    <format dxfId="259">
      <pivotArea outline="0" collapsedLevelsAreSubtotals="1" fieldPosition="0"/>
    </format>
    <format dxfId="258">
      <pivotArea field="0" type="button" dataOnly="0" labelOnly="1" outline="0" axis="axisRow" fieldPosition="0"/>
    </format>
    <format dxfId="257">
      <pivotArea dataOnly="0" labelOnly="1" fieldPosition="0">
        <references count="1">
          <reference field="0" count="0"/>
        </references>
      </pivotArea>
    </format>
    <format dxfId="256">
      <pivotArea dataOnly="0" labelOnly="1" grandRow="1" outline="0" fieldPosition="0"/>
    </format>
    <format dxfId="255">
      <pivotArea dataOnly="0" labelOnly="1" outline="0" fieldPosition="0">
        <references count="1">
          <reference field="429496729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3:Z10" firstHeaderRow="0" firstDataRow="1" firstDataCol="1"/>
  <pivotFields count="17">
    <pivotField axis="axisRow" showAll="0">
      <items count="7">
        <item x="0"/>
        <item x="1"/>
        <item x="2"/>
        <item x="3"/>
        <item x="4"/>
        <item x="5"/>
        <item t="default"/>
      </items>
    </pivotField>
    <pivotField showAll="0"/>
    <pivotField showAll="0"/>
    <pivotField showAll="0"/>
    <pivotField showAll="0"/>
    <pivotField showAll="0"/>
    <pivotField showAll="0"/>
    <pivotField showAll="0"/>
    <pivotField dataField="1" showAll="0">
      <items count="3">
        <item x="1"/>
        <item x="0"/>
        <item t="default"/>
      </items>
    </pivotField>
    <pivotField dataField="1" showAll="0">
      <items count="3">
        <item x="1"/>
        <item x="0"/>
        <item t="default"/>
      </items>
    </pivotField>
    <pivotField dataField="1" showAll="0">
      <items count="3">
        <item x="1"/>
        <item x="0"/>
        <item t="default"/>
      </items>
    </pivotField>
    <pivotField dataField="1" showAll="0">
      <items count="2">
        <item x="0"/>
        <item t="default"/>
      </items>
    </pivotField>
    <pivotField dataField="1" showAll="0">
      <items count="3">
        <item x="1"/>
        <item x="0"/>
        <item t="default"/>
      </items>
    </pivotField>
    <pivotField dataField="1" showAll="0">
      <items count="3">
        <item x="1"/>
        <item x="0"/>
        <item t="default"/>
      </items>
    </pivotField>
    <pivotField showAll="0"/>
    <pivotField showAll="0"/>
    <pivotField showAll="0"/>
  </pivotFields>
  <rowFields count="1">
    <field x="0"/>
  </rowFields>
  <rowItems count="7">
    <i>
      <x/>
    </i>
    <i>
      <x v="1"/>
    </i>
    <i>
      <x v="2"/>
    </i>
    <i>
      <x v="3"/>
    </i>
    <i>
      <x v="4"/>
    </i>
    <i>
      <x v="5"/>
    </i>
    <i t="grand">
      <x/>
    </i>
  </rowItems>
  <colFields count="1">
    <field x="-2"/>
  </colFields>
  <colItems count="6">
    <i>
      <x/>
    </i>
    <i i="1">
      <x v="1"/>
    </i>
    <i i="2">
      <x v="2"/>
    </i>
    <i i="3">
      <x v="3"/>
    </i>
    <i i="4">
      <x v="4"/>
    </i>
    <i i="5">
      <x v="5"/>
    </i>
  </colItems>
  <dataFields count="6">
    <dataField name="Count of Workload (W)" fld="11" subtotal="count" baseField="0" baseItem="0"/>
    <dataField name="Count of Latency (L)" fld="10" subtotal="count" baseField="0" baseItem="0"/>
    <dataField name="Count of Cost /Price (c)" fld="12" subtotal="count" baseField="0" baseItem="0"/>
    <dataField name="Count of Execution Time (T)" fld="8" subtotal="count" baseField="0" baseItem="0"/>
    <dataField name="Count of Cold start (S)" fld="9" subtotal="count" baseField="0" baseItem="0"/>
    <dataField name="Count of Throughput (P)" fld="13" subtotal="count" baseField="0" baseItem="0"/>
  </dataFields>
  <formats count="7">
    <format dxfId="235">
      <pivotArea type="all" dataOnly="0" outline="0" fieldPosition="0"/>
    </format>
    <format dxfId="234">
      <pivotArea outline="0" collapsedLevelsAreSubtotals="1" fieldPosition="0"/>
    </format>
    <format dxfId="233">
      <pivotArea field="0" type="button" dataOnly="0" labelOnly="1" outline="0" axis="axisRow" fieldPosition="0"/>
    </format>
    <format dxfId="232">
      <pivotArea dataOnly="0" labelOnly="1" fieldPosition="0">
        <references count="1">
          <reference field="0" count="0"/>
        </references>
      </pivotArea>
    </format>
    <format dxfId="231">
      <pivotArea dataOnly="0" labelOnly="1" grandRow="1" outline="0" fieldPosition="0"/>
    </format>
    <format dxfId="230">
      <pivotArea dataOnly="0" labelOnly="1" outline="0" fieldPosition="0">
        <references count="1">
          <reference field="4294967294" count="6">
            <x v="0"/>
            <x v="1"/>
            <x v="2"/>
            <x v="3"/>
            <x v="4"/>
            <x v="5"/>
          </reference>
        </references>
      </pivotArea>
    </format>
    <format dxfId="2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2:Z8" firstHeaderRow="0" firstDataRow="1" firstDataCol="1"/>
  <pivotFields count="17">
    <pivotField axis="axisRow" showAll="0">
      <items count="6">
        <item x="0"/>
        <item x="1"/>
        <item x="2"/>
        <item x="3"/>
        <item x="4"/>
        <item t="default"/>
      </items>
    </pivotField>
    <pivotField showAll="0"/>
    <pivotField showAll="0"/>
    <pivotField showAll="0"/>
    <pivotField showAll="0"/>
    <pivotField showAll="0"/>
    <pivotField showAll="0"/>
    <pivotField showAll="0"/>
    <pivotField dataField="1" showAll="0">
      <items count="3">
        <item x="1"/>
        <item x="0"/>
        <item t="default"/>
      </items>
    </pivotField>
    <pivotField dataField="1" showAll="0">
      <items count="2">
        <item x="0"/>
        <item t="default"/>
      </items>
    </pivotField>
    <pivotField dataField="1" showAll="0">
      <items count="3">
        <item x="1"/>
        <item x="0"/>
        <item t="default"/>
      </items>
    </pivotField>
    <pivotField dataField="1" showAll="0">
      <items count="3">
        <item x="1"/>
        <item x="0"/>
        <item t="default"/>
      </items>
    </pivotField>
    <pivotField dataField="1" showAll="0">
      <items count="3">
        <item x="1"/>
        <item x="0"/>
        <item t="default"/>
      </items>
    </pivotField>
    <pivotField dataField="1" showAll="0">
      <items count="3">
        <item x="1"/>
        <item x="0"/>
        <item t="default"/>
      </items>
    </pivotField>
    <pivotField showAll="0"/>
    <pivotField showAll="0"/>
    <pivotField showAll="0"/>
  </pivotFields>
  <rowFields count="1">
    <field x="0"/>
  </rowFields>
  <rowItems count="6">
    <i>
      <x/>
    </i>
    <i>
      <x v="1"/>
    </i>
    <i>
      <x v="2"/>
    </i>
    <i>
      <x v="3"/>
    </i>
    <i>
      <x v="4"/>
    </i>
    <i t="grand">
      <x/>
    </i>
  </rowItems>
  <colFields count="1">
    <field x="-2"/>
  </colFields>
  <colItems count="6">
    <i>
      <x/>
    </i>
    <i i="1">
      <x v="1"/>
    </i>
    <i i="2">
      <x v="2"/>
    </i>
    <i i="3">
      <x v="3"/>
    </i>
    <i i="4">
      <x v="4"/>
    </i>
    <i i="5">
      <x v="5"/>
    </i>
  </colItems>
  <dataFields count="6">
    <dataField name="Count of Cold start (S)" fld="9" subtotal="count" baseField="0" baseItem="0"/>
    <dataField name="Count of Latency (L)" fld="10" subtotal="count" baseField="0" baseItem="0"/>
    <dataField name="Count of Cost /Price (c)" fld="12" subtotal="count" baseField="0" baseItem="0"/>
    <dataField name="Count of Execution Time (T)" fld="8" subtotal="count" baseField="0" baseItem="0"/>
    <dataField name="Count of Workload (W)" fld="11" subtotal="count" baseField="0" baseItem="0"/>
    <dataField name="Count of Throughput (P)" fld="13" subtotal="count" baseField="0" baseItem="0"/>
  </dataFields>
  <formats count="12">
    <format dxfId="208">
      <pivotArea type="all" dataOnly="0" outline="0" fieldPosition="0"/>
    </format>
    <format dxfId="207">
      <pivotArea outline="0" collapsedLevelsAreSubtotals="1" fieldPosition="0"/>
    </format>
    <format dxfId="206">
      <pivotArea field="0" type="button" dataOnly="0" labelOnly="1" outline="0" axis="axisRow" fieldPosition="0"/>
    </format>
    <format dxfId="205">
      <pivotArea dataOnly="0" labelOnly="1" fieldPosition="0">
        <references count="1">
          <reference field="0" count="0"/>
        </references>
      </pivotArea>
    </format>
    <format dxfId="204">
      <pivotArea dataOnly="0" labelOnly="1" grandRow="1" outline="0" fieldPosition="0"/>
    </format>
    <format dxfId="203">
      <pivotArea dataOnly="0" labelOnly="1" outline="0" fieldPosition="0">
        <references count="1">
          <reference field="4294967294" count="6">
            <x v="0"/>
            <x v="1"/>
            <x v="2"/>
            <x v="3"/>
            <x v="4"/>
            <x v="5"/>
          </reference>
        </references>
      </pivotArea>
    </format>
    <format dxfId="202">
      <pivotArea type="all" dataOnly="0" outline="0" fieldPosition="0"/>
    </format>
    <format dxfId="201">
      <pivotArea outline="0" collapsedLevelsAreSubtotals="1" fieldPosition="0"/>
    </format>
    <format dxfId="200">
      <pivotArea field="0" type="button" dataOnly="0" labelOnly="1" outline="0" axis="axisRow" fieldPosition="0"/>
    </format>
    <format dxfId="199">
      <pivotArea dataOnly="0" labelOnly="1" fieldPosition="0">
        <references count="1">
          <reference field="0" count="0"/>
        </references>
      </pivotArea>
    </format>
    <format dxfId="198">
      <pivotArea dataOnly="0" labelOnly="1" grandRow="1" outline="0" fieldPosition="0"/>
    </format>
    <format dxfId="197">
      <pivotArea dataOnly="0" labelOnly="1" outline="0" fieldPosition="0">
        <references count="1">
          <reference field="429496729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5000000}"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H20" firstHeaderRow="0" firstDataRow="1" firstDataCol="1"/>
  <pivotFields count="18">
    <pivotField axis="axisRow" showAll="0">
      <items count="6">
        <item x="0"/>
        <item x="1"/>
        <item x="2"/>
        <item x="3"/>
        <item x="4"/>
        <item t="default"/>
      </items>
    </pivotField>
    <pivotField showAll="0"/>
    <pivotField showAll="0"/>
    <pivotField showAll="0"/>
    <pivotField showAll="0"/>
    <pivotField showAll="0"/>
    <pivotField showAll="0"/>
    <pivotField showAll="0"/>
    <pivotField dataField="1" showAll="0">
      <items count="3">
        <item x="1"/>
        <item x="0"/>
        <item t="default"/>
      </items>
    </pivotField>
    <pivotField dataField="1" showAll="0">
      <items count="3">
        <item x="1"/>
        <item x="0"/>
        <item t="default"/>
      </items>
    </pivotField>
    <pivotField dataField="1" showAll="0">
      <items count="3">
        <item x="1"/>
        <item x="0"/>
        <item t="default"/>
      </items>
    </pivotField>
    <pivotField dataField="1" showAll="0">
      <items count="3">
        <item x="0"/>
        <item x="1"/>
        <item t="default"/>
      </items>
    </pivotField>
    <pivotField dataField="1" showAll="0">
      <items count="3">
        <item x="1"/>
        <item x="0"/>
        <item t="default"/>
      </items>
    </pivotField>
    <pivotField showAll="0">
      <items count="2">
        <item x="0"/>
        <item t="default"/>
      </items>
    </pivotField>
    <pivotField dataField="1" showAll="0">
      <items count="2">
        <item x="0"/>
        <item t="default"/>
      </items>
    </pivotField>
    <pivotField showAll="0"/>
    <pivotField showAll="0"/>
    <pivotField showAll="0"/>
  </pivotFields>
  <rowFields count="1">
    <field x="0"/>
  </rowFields>
  <rowItems count="6">
    <i>
      <x/>
    </i>
    <i>
      <x v="1"/>
    </i>
    <i>
      <x v="2"/>
    </i>
    <i>
      <x v="3"/>
    </i>
    <i>
      <x v="4"/>
    </i>
    <i t="grand">
      <x/>
    </i>
  </rowItems>
  <colFields count="1">
    <field x="-2"/>
  </colFields>
  <colItems count="6">
    <i>
      <x/>
    </i>
    <i i="1">
      <x v="1"/>
    </i>
    <i i="2">
      <x v="2"/>
    </i>
    <i i="3">
      <x v="3"/>
    </i>
    <i i="4">
      <x v="4"/>
    </i>
    <i i="5">
      <x v="5"/>
    </i>
  </colItems>
  <dataFields count="6">
    <dataField name="Count of Resouce Allocation" fld="14" subtotal="count" baseField="0" baseItem="0"/>
    <dataField name="Count of Latency (L)" fld="10" subtotal="count" baseField="0" baseItem="0"/>
    <dataField name="Count of Cost /Price (c)" fld="12" subtotal="count" baseField="0" baseItem="0"/>
    <dataField name="Count of Workload (W)" fld="11" subtotal="count" baseField="0" baseItem="0"/>
    <dataField name="Count of Execution Time (T)" fld="8" subtotal="count" baseField="0" baseItem="0"/>
    <dataField name="Count of Cold start (S)" fld="9" subtotal="count" baseField="0" baseItem="0"/>
  </dataFields>
  <formats count="6">
    <format dxfId="174">
      <pivotArea type="all" dataOnly="0" outline="0" fieldPosition="0"/>
    </format>
    <format dxfId="173">
      <pivotArea outline="0" collapsedLevelsAreSubtotals="1" fieldPosition="0"/>
    </format>
    <format dxfId="172">
      <pivotArea field="0" type="button" dataOnly="0" labelOnly="1" outline="0" axis="axisRow" fieldPosition="0"/>
    </format>
    <format dxfId="171">
      <pivotArea dataOnly="0" labelOnly="1" fieldPosition="0">
        <references count="1">
          <reference field="0" count="0"/>
        </references>
      </pivotArea>
    </format>
    <format dxfId="170">
      <pivotArea dataOnly="0" labelOnly="1" grandRow="1" outline="0" fieldPosition="0"/>
    </format>
    <format dxfId="169">
      <pivotArea dataOnly="0" labelOnly="1" outline="0" fieldPosition="0">
        <references count="1">
          <reference field="429496729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700-000006000000}"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9:J13" firstHeaderRow="0" firstDataRow="1" firstDataCol="1"/>
  <pivotFields count="17">
    <pivotField axis="axisRow" showAll="0">
      <items count="4">
        <item x="0"/>
        <item x="1"/>
        <item x="2"/>
        <item t="default"/>
      </items>
    </pivotField>
    <pivotField showAll="0"/>
    <pivotField showAll="0"/>
    <pivotField showAll="0"/>
    <pivotField showAll="0"/>
    <pivotField showAll="0"/>
    <pivotField showAll="0"/>
    <pivotField showAll="0"/>
    <pivotField dataField="1" showAll="0">
      <items count="3">
        <item x="0"/>
        <item x="1"/>
        <item t="default"/>
      </items>
    </pivotField>
    <pivotField dataField="1" showAll="0">
      <items count="3">
        <item x="1"/>
        <item x="0"/>
        <item t="default"/>
      </items>
    </pivotField>
    <pivotField dataField="1" showAll="0">
      <items count="2">
        <item x="0"/>
        <item t="default"/>
      </items>
    </pivotField>
    <pivotField dataField="1" showAll="0">
      <items count="3">
        <item x="1"/>
        <item x="0"/>
        <item t="default"/>
      </items>
    </pivotField>
    <pivotField dataField="1" showAll="0">
      <items count="3">
        <item x="1"/>
        <item x="0"/>
        <item t="default"/>
      </items>
    </pivotField>
    <pivotField dataField="1" showAll="0">
      <items count="2">
        <item x="0"/>
        <item t="default"/>
      </items>
    </pivotField>
    <pivotField showAll="0"/>
    <pivotField showAll="0"/>
    <pivotField showAll="0"/>
  </pivotFields>
  <rowFields count="1">
    <field x="0"/>
  </rowFields>
  <rowItems count="4">
    <i>
      <x/>
    </i>
    <i>
      <x v="1"/>
    </i>
    <i>
      <x v="2"/>
    </i>
    <i t="grand">
      <x/>
    </i>
  </rowItems>
  <colFields count="1">
    <field x="-2"/>
  </colFields>
  <colItems count="6">
    <i>
      <x/>
    </i>
    <i i="1">
      <x v="1"/>
    </i>
    <i i="2">
      <x v="2"/>
    </i>
    <i i="3">
      <x v="3"/>
    </i>
    <i i="4">
      <x v="4"/>
    </i>
    <i i="5">
      <x v="5"/>
    </i>
  </colItems>
  <dataFields count="6">
    <dataField name="Count of Throughput (P)" fld="13" subtotal="count" baseField="0" baseItem="0"/>
    <dataField name="Count of Latency (L)" fld="10" subtotal="count" baseField="0" baseItem="0"/>
    <dataField name="Count of Cost /Price (c)" fld="12" subtotal="count" baseField="0" baseItem="0"/>
    <dataField name="Count of Workload (W)" fld="11" subtotal="count" baseField="0" baseItem="0"/>
    <dataField name="Count of Cold start (S)" fld="9" subtotal="count" baseField="0" baseItem="0"/>
    <dataField name="Count of Execution Time (T)" fld="8" subtotal="count" baseField="0" baseItem="0"/>
  </dataFields>
  <formats count="6">
    <format dxfId="148">
      <pivotArea type="all" dataOnly="0" outline="0" fieldPosition="0"/>
    </format>
    <format dxfId="147">
      <pivotArea outline="0" collapsedLevelsAreSubtotals="1" fieldPosition="0"/>
    </format>
    <format dxfId="146">
      <pivotArea field="0" type="button" dataOnly="0" labelOnly="1" outline="0" axis="axisRow" fieldPosition="0"/>
    </format>
    <format dxfId="145">
      <pivotArea dataOnly="0" labelOnly="1" fieldPosition="0">
        <references count="1">
          <reference field="0" count="0"/>
        </references>
      </pivotArea>
    </format>
    <format dxfId="144">
      <pivotArea dataOnly="0" labelOnly="1" grandRow="1" outline="0" fieldPosition="0"/>
    </format>
    <format dxfId="143">
      <pivotArea dataOnly="0" labelOnly="1" outline="0" fieldPosition="0">
        <references count="1">
          <reference field="429496729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800-00000B000000}"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B29:H36" firstHeaderRow="0" firstDataRow="1" firstDataCol="1"/>
  <pivotFields count="17">
    <pivotField axis="axisRow" showAll="0">
      <items count="7">
        <item x="0"/>
        <item x="1"/>
        <item x="2"/>
        <item x="3"/>
        <item x="4"/>
        <item x="5"/>
        <item t="default"/>
      </items>
    </pivotField>
    <pivotField showAll="0"/>
    <pivotField showAll="0"/>
    <pivotField showAll="0"/>
    <pivotField showAll="0"/>
    <pivotField showAll="0"/>
    <pivotField showAll="0"/>
    <pivotField showAll="0"/>
    <pivotField dataField="1" showAll="0">
      <items count="3">
        <item x="1"/>
        <item x="0"/>
        <item t="default"/>
      </items>
    </pivotField>
    <pivotField dataField="1" showAll="0">
      <items count="3">
        <item x="1"/>
        <item x="0"/>
        <item t="default"/>
      </items>
    </pivotField>
    <pivotField dataField="1" showAll="0">
      <items count="3">
        <item x="1"/>
        <item x="0"/>
        <item t="default"/>
      </items>
    </pivotField>
    <pivotField dataField="1" showAll="0">
      <items count="2">
        <item x="0"/>
        <item t="default"/>
      </items>
    </pivotField>
    <pivotField dataField="1" showAll="0">
      <items count="3">
        <item x="1"/>
        <item x="0"/>
        <item t="default"/>
      </items>
    </pivotField>
    <pivotField dataField="1" showAll="0">
      <items count="3">
        <item x="1"/>
        <item x="0"/>
        <item t="default"/>
      </items>
    </pivotField>
    <pivotField showAll="0"/>
    <pivotField showAll="0"/>
    <pivotField showAll="0"/>
  </pivotFields>
  <rowFields count="1">
    <field x="0"/>
  </rowFields>
  <rowItems count="7">
    <i>
      <x/>
    </i>
    <i>
      <x v="1"/>
    </i>
    <i>
      <x v="2"/>
    </i>
    <i>
      <x v="3"/>
    </i>
    <i>
      <x v="4"/>
    </i>
    <i>
      <x v="5"/>
    </i>
    <i t="grand">
      <x/>
    </i>
  </rowItems>
  <colFields count="1">
    <field x="-2"/>
  </colFields>
  <colItems count="6">
    <i>
      <x/>
    </i>
    <i i="1">
      <x v="1"/>
    </i>
    <i i="2">
      <x v="2"/>
    </i>
    <i i="3">
      <x v="3"/>
    </i>
    <i i="4">
      <x v="4"/>
    </i>
    <i i="5">
      <x v="5"/>
    </i>
  </colItems>
  <dataFields count="6">
    <dataField name="Count of Workload (W)" fld="11" subtotal="count" baseField="0" baseItem="0"/>
    <dataField name="Count of Latency (L)" fld="10" subtotal="count" baseField="0" baseItem="0"/>
    <dataField name="Count of Cost /Price (c)" fld="12" subtotal="count" baseField="0" baseItem="0"/>
    <dataField name="Count of Execution Time (T)" fld="8" subtotal="count" baseField="0" baseItem="0"/>
    <dataField name="Count of Cold start (S)" fld="9" subtotal="count" baseField="0" baseItem="0"/>
    <dataField name="Count of Throughput (P)" fld="13" subtotal="count" baseField="0" baseItem="0"/>
  </dataFields>
  <formats count="19">
    <format dxfId="18">
      <pivotArea type="all" dataOnly="0" outline="0" fieldPosition="0"/>
    </format>
    <format dxfId="17">
      <pivotArea outline="0" collapsedLevelsAreSubtotals="1" fieldPosition="0"/>
    </format>
    <format dxfId="16">
      <pivotArea field="0" type="button" dataOnly="0" labelOnly="1" outline="0" axis="axisRow" fieldPosition="0"/>
    </format>
    <format dxfId="15">
      <pivotArea dataOnly="0" labelOnly="1" fieldPosition="0">
        <references count="1">
          <reference field="0" count="0"/>
        </references>
      </pivotArea>
    </format>
    <format dxfId="14">
      <pivotArea dataOnly="0" labelOnly="1" grandRow="1" outline="0" fieldPosition="0"/>
    </format>
    <format dxfId="13">
      <pivotArea dataOnly="0" labelOnly="1" outline="0" fieldPosition="0">
        <references count="1">
          <reference field="4294967294" count="6">
            <x v="0"/>
            <x v="1"/>
            <x v="2"/>
            <x v="3"/>
            <x v="4"/>
            <x v="5"/>
          </reference>
        </references>
      </pivotArea>
    </format>
    <format dxfId="12">
      <pivotArea type="all" dataOnly="0" outline="0" fieldPosition="0"/>
    </format>
    <format dxfId="11">
      <pivotArea outline="0" collapsedLevelsAreSubtotals="1" fieldPosition="0"/>
    </format>
    <format dxfId="10">
      <pivotArea dataOnly="0" labelOnly="1" fieldPosition="0">
        <references count="1">
          <reference field="0" count="0"/>
        </references>
      </pivotArea>
    </format>
    <format dxfId="9">
      <pivotArea field="0" type="button" dataOnly="0" labelOnly="1" outline="0" axis="axisRow" fieldPosition="0"/>
    </format>
    <format dxfId="8">
      <pivotArea dataOnly="0" labelOnly="1" outline="0" fieldPosition="0">
        <references count="1">
          <reference field="4294967294" count="6">
            <x v="0"/>
            <x v="1"/>
            <x v="2"/>
            <x v="3"/>
            <x v="4"/>
            <x v="5"/>
          </reference>
        </references>
      </pivotArea>
    </format>
    <format dxfId="7">
      <pivotArea dataOnly="0" labelOnly="1" grandRow="1" outline="0" fieldPosition="0"/>
    </format>
    <format dxfId="6">
      <pivotArea type="all" dataOnly="0" outline="0" fieldPosition="0"/>
    </format>
    <format dxfId="5">
      <pivotArea outline="0" collapsedLevelsAreSubtotals="1" fieldPosition="0"/>
    </format>
    <format dxfId="4">
      <pivotArea field="0" type="button" dataOnly="0" labelOnly="1" outline="0" axis="axisRow" fieldPosition="0"/>
    </format>
    <format dxfId="3">
      <pivotArea dataOnly="0" labelOnly="1" fieldPosition="0">
        <references count="1">
          <reference field="0" count="0"/>
        </references>
      </pivotArea>
    </format>
    <format dxfId="2">
      <pivotArea dataOnly="0" labelOnly="1" grandRow="1" outline="0" fieldPosition="0"/>
    </format>
    <format dxfId="1">
      <pivotArea dataOnly="0" labelOnly="1" outline="0" fieldPosition="0">
        <references count="1">
          <reference field="4294967294" count="6">
            <x v="0"/>
            <x v="1"/>
            <x v="2"/>
            <x v="3"/>
            <x v="4"/>
            <x v="5"/>
          </reference>
        </references>
      </pivotArea>
    </format>
    <format dxfId="0">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800-00000900000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B2:H9" firstHeaderRow="0" firstDataRow="1" firstDataCol="1"/>
  <pivotFields count="17">
    <pivotField axis="axisRow" showAll="0">
      <items count="7">
        <item x="0"/>
        <item x="1"/>
        <item x="2"/>
        <item x="3"/>
        <item x="4"/>
        <item x="5"/>
        <item t="default"/>
      </items>
    </pivotField>
    <pivotField showAll="0">
      <items count="46">
        <item x="44"/>
        <item x="19"/>
        <item x="14"/>
        <item x="3"/>
        <item x="5"/>
        <item x="25"/>
        <item x="10"/>
        <item x="22"/>
        <item x="39"/>
        <item x="1"/>
        <item x="23"/>
        <item x="37"/>
        <item x="26"/>
        <item x="34"/>
        <item x="0"/>
        <item x="41"/>
        <item x="4"/>
        <item x="42"/>
        <item x="20"/>
        <item x="29"/>
        <item x="32"/>
        <item x="21"/>
        <item x="2"/>
        <item x="38"/>
        <item x="13"/>
        <item x="11"/>
        <item x="35"/>
        <item x="12"/>
        <item x="7"/>
        <item x="40"/>
        <item x="27"/>
        <item x="43"/>
        <item x="8"/>
        <item x="31"/>
        <item x="36"/>
        <item x="9"/>
        <item x="24"/>
        <item x="28"/>
        <item x="6"/>
        <item x="33"/>
        <item x="30"/>
        <item x="15"/>
        <item x="18"/>
        <item x="16"/>
        <item x="17"/>
        <item t="default"/>
      </items>
    </pivotField>
    <pivotField showAll="0">
      <items count="47">
        <item x="41"/>
        <item x="10"/>
        <item x="18"/>
        <item x="22"/>
        <item x="44"/>
        <item x="31"/>
        <item x="33"/>
        <item x="2"/>
        <item x="40"/>
        <item x="0"/>
        <item x="20"/>
        <item x="29"/>
        <item x="23"/>
        <item x="34"/>
        <item x="35"/>
        <item x="9"/>
        <item x="30"/>
        <item x="36"/>
        <item x="27"/>
        <item x="6"/>
        <item x="28"/>
        <item x="12"/>
        <item x="14"/>
        <item x="17"/>
        <item x="13"/>
        <item x="25"/>
        <item x="38"/>
        <item x="3"/>
        <item x="26"/>
        <item x="11"/>
        <item x="7"/>
        <item x="5"/>
        <item x="19"/>
        <item x="16"/>
        <item x="32"/>
        <item x="39"/>
        <item x="21"/>
        <item x="45"/>
        <item x="24"/>
        <item x="43"/>
        <item x="42"/>
        <item x="37"/>
        <item x="15"/>
        <item x="4"/>
        <item x="1"/>
        <item x="8"/>
        <item t="default"/>
      </items>
    </pivotField>
    <pivotField showAll="0"/>
    <pivotField showAll="0"/>
    <pivotField showAll="0"/>
    <pivotField showAll="0"/>
    <pivotField showAll="0"/>
    <pivotField dataField="1" showAll="0">
      <items count="3">
        <item x="1"/>
        <item x="0"/>
        <item t="default"/>
      </items>
    </pivotField>
    <pivotField dataField="1" showAll="0">
      <items count="3">
        <item x="1"/>
        <item x="0"/>
        <item t="default"/>
      </items>
    </pivotField>
    <pivotField dataField="1" showAll="0">
      <items count="2">
        <item x="0"/>
        <item t="default"/>
      </items>
    </pivotField>
    <pivotField dataField="1" showAll="0">
      <items count="3">
        <item x="1"/>
        <item x="0"/>
        <item t="default"/>
      </items>
    </pivotField>
    <pivotField dataField="1" showAll="0">
      <items count="3">
        <item x="1"/>
        <item x="0"/>
        <item t="default"/>
      </items>
    </pivotField>
    <pivotField dataField="1" showAll="0">
      <items count="3">
        <item x="1"/>
        <item x="0"/>
        <item t="default"/>
      </items>
    </pivotField>
    <pivotField showAll="0"/>
    <pivotField showAll="0"/>
    <pivotField showAll="0"/>
  </pivotFields>
  <rowFields count="1">
    <field x="0"/>
  </rowFields>
  <rowItems count="7">
    <i>
      <x/>
    </i>
    <i>
      <x v="1"/>
    </i>
    <i>
      <x v="2"/>
    </i>
    <i>
      <x v="3"/>
    </i>
    <i>
      <x v="4"/>
    </i>
    <i>
      <x v="5"/>
    </i>
    <i t="grand">
      <x/>
    </i>
  </rowItems>
  <colFields count="1">
    <field x="-2"/>
  </colFields>
  <colItems count="6">
    <i>
      <x/>
    </i>
    <i i="1">
      <x v="1"/>
    </i>
    <i i="2">
      <x v="2"/>
    </i>
    <i i="3">
      <x v="3"/>
    </i>
    <i i="4">
      <x v="4"/>
    </i>
    <i i="5">
      <x v="5"/>
    </i>
  </colItems>
  <dataFields count="6">
    <dataField name="Count of Latency (L)" fld="10" subtotal="count" baseField="0" baseItem="0"/>
    <dataField name="Count of Cost /Price (c)2" fld="12" subtotal="count" baseField="0" baseItem="0"/>
    <dataField name="Count of Cold start (S)" fld="9" subtotal="count" baseField="0" baseItem="0"/>
    <dataField name="Count of Execution Time (T)" fld="8" subtotal="count" baseField="0" baseItem="0"/>
    <dataField name="Count of Workload (W)" fld="11" subtotal="count" baseField="0" baseItem="0"/>
    <dataField name="Count of Throughput (P)" fld="13" subtotal="count" baseField="0" baseItem="0"/>
  </dataFields>
  <formats count="29">
    <format dxfId="47">
      <pivotArea type="all" dataOnly="0" outline="0" fieldPosition="0"/>
    </format>
    <format dxfId="46">
      <pivotArea outline="0" collapsedLevelsAreSubtotals="1" fieldPosition="0"/>
    </format>
    <format dxfId="45">
      <pivotArea field="1" type="button" dataOnly="0" labelOnly="1" outline="0"/>
    </format>
    <format dxfId="44">
      <pivotArea dataOnly="0" labelOnly="1" grandRow="1" outline="0" fieldPosition="0"/>
    </format>
    <format dxfId="43">
      <pivotArea dataOnly="0" labelOnly="1" outline="0" fieldPosition="0">
        <references count="1">
          <reference field="4294967294" count="6">
            <x v="0"/>
            <x v="1"/>
            <x v="2"/>
            <x v="3"/>
            <x v="4"/>
            <x v="5"/>
          </reference>
        </references>
      </pivotArea>
    </format>
    <format dxfId="42">
      <pivotArea type="all" dataOnly="0" outline="0" fieldPosition="0"/>
    </format>
    <format dxfId="41">
      <pivotArea outline="0" collapsedLevelsAreSubtotals="1" fieldPosition="0"/>
    </format>
    <format dxfId="40">
      <pivotArea dataOnly="0" labelOnly="1" grandRow="1" outline="0" fieldPosition="0"/>
    </format>
    <format dxfId="39">
      <pivotArea field="1" type="button" dataOnly="0" labelOnly="1" outline="0"/>
    </format>
    <format dxfId="38">
      <pivotArea dataOnly="0" labelOnly="1" outline="0" fieldPosition="0">
        <references count="1">
          <reference field="4294967294" count="6">
            <x v="0"/>
            <x v="1"/>
            <x v="2"/>
            <x v="3"/>
            <x v="4"/>
            <x v="5"/>
          </reference>
        </references>
      </pivotArea>
    </format>
    <format dxfId="37">
      <pivotArea type="all" dataOnly="0" outline="0" fieldPosition="0"/>
    </format>
    <format dxfId="36">
      <pivotArea outline="0" collapsedLevelsAreSubtotals="1" fieldPosition="0"/>
    </format>
    <format dxfId="35">
      <pivotArea field="0" type="button" dataOnly="0" labelOnly="1" outline="0" axis="axisRow" fieldPosition="0"/>
    </format>
    <format dxfId="34">
      <pivotArea dataOnly="0" labelOnly="1" fieldPosition="0">
        <references count="1">
          <reference field="0" count="0"/>
        </references>
      </pivotArea>
    </format>
    <format dxfId="33">
      <pivotArea dataOnly="0" labelOnly="1" grandRow="1" outline="0" fieldPosition="0"/>
    </format>
    <format dxfId="32">
      <pivotArea dataOnly="0" labelOnly="1" outline="0" fieldPosition="0">
        <references count="1">
          <reference field="4294967294" count="6">
            <x v="0"/>
            <x v="1"/>
            <x v="2"/>
            <x v="3"/>
            <x v="4"/>
            <x v="5"/>
          </reference>
        </references>
      </pivotArea>
    </format>
    <format dxfId="31">
      <pivotArea outline="0" collapsedLevelsAreSubtotals="1" fieldPosition="0"/>
    </format>
    <format dxfId="30">
      <pivotArea dataOnly="0" labelOnly="1" fieldPosition="0">
        <references count="1">
          <reference field="0" count="0"/>
        </references>
      </pivotArea>
    </format>
    <format dxfId="29">
      <pivotArea field="0" type="button" dataOnly="0" labelOnly="1" outline="0" axis="axisRow" fieldPosition="0"/>
    </format>
    <format dxfId="28">
      <pivotArea dataOnly="0" labelOnly="1" outline="0" fieldPosition="0">
        <references count="1">
          <reference field="4294967294" count="6">
            <x v="0"/>
            <x v="1"/>
            <x v="2"/>
            <x v="3"/>
            <x v="4"/>
            <x v="5"/>
          </reference>
        </references>
      </pivotArea>
    </format>
    <format dxfId="27">
      <pivotArea dataOnly="0" labelOnly="1" grandRow="1" outline="0" fieldPosition="0"/>
    </format>
    <format dxfId="26">
      <pivotArea type="all" dataOnly="0" outline="0" fieldPosition="0"/>
    </format>
    <format dxfId="25">
      <pivotArea outline="0" collapsedLevelsAreSubtotals="1" fieldPosition="0"/>
    </format>
    <format dxfId="24">
      <pivotArea field="0" type="button" dataOnly="0" labelOnly="1" outline="0" axis="axisRow" fieldPosition="0"/>
    </format>
    <format dxfId="23">
      <pivotArea dataOnly="0" labelOnly="1" fieldPosition="0">
        <references count="1">
          <reference field="0" count="0"/>
        </references>
      </pivotArea>
    </format>
    <format dxfId="22">
      <pivotArea dataOnly="0" labelOnly="1" grandRow="1" outline="0" fieldPosition="0"/>
    </format>
    <format dxfId="21">
      <pivotArea dataOnly="0" labelOnly="1" outline="0" fieldPosition="0">
        <references count="1">
          <reference field="4294967294" count="6">
            <x v="0"/>
            <x v="1"/>
            <x v="2"/>
            <x v="3"/>
            <x v="4"/>
            <x v="5"/>
          </reference>
        </references>
      </pivotArea>
    </format>
    <format dxfId="20">
      <pivotArea dataOnly="0" labelOnly="1" outline="0" fieldPosition="0">
        <references count="1">
          <reference field="4294967294" count="1">
            <x v="0"/>
          </reference>
        </references>
      </pivotArea>
    </format>
    <format dxfId="19">
      <pivotArea field="0"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800-00000D000000}"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B20:H27" firstHeaderRow="0" firstDataRow="1" firstDataCol="1"/>
  <pivotFields count="17">
    <pivotField axis="axisRow" showAll="0">
      <items count="7">
        <item x="0"/>
        <item x="1"/>
        <item x="2"/>
        <item x="3"/>
        <item x="4"/>
        <item x="5"/>
        <item t="default"/>
      </items>
    </pivotField>
    <pivotField showAll="0"/>
    <pivotField showAll="0"/>
    <pivotField showAll="0"/>
    <pivotField showAll="0"/>
    <pivotField showAll="0"/>
    <pivotField showAll="0"/>
    <pivotField showAll="0"/>
    <pivotField dataField="1" showAll="0">
      <items count="2">
        <item x="0"/>
        <item t="default"/>
      </items>
    </pivotField>
    <pivotField dataField="1" showAll="0">
      <items count="3">
        <item x="1"/>
        <item x="0"/>
        <item t="default"/>
      </items>
    </pivotField>
    <pivotField dataField="1" showAll="0">
      <items count="3">
        <item x="1"/>
        <item x="0"/>
        <item t="default"/>
      </items>
    </pivotField>
    <pivotField dataField="1" showAll="0">
      <items count="3">
        <item x="1"/>
        <item x="0"/>
        <item t="default"/>
      </items>
    </pivotField>
    <pivotField dataField="1" showAll="0">
      <items count="3">
        <item x="1"/>
        <item x="0"/>
        <item t="default"/>
      </items>
    </pivotField>
    <pivotField dataField="1" showAll="0">
      <items count="3">
        <item x="1"/>
        <item x="0"/>
        <item t="default"/>
      </items>
    </pivotField>
    <pivotField showAll="0"/>
    <pivotField showAll="0"/>
    <pivotField showAll="0"/>
  </pivotFields>
  <rowFields count="1">
    <field x="0"/>
  </rowFields>
  <rowItems count="7">
    <i>
      <x/>
    </i>
    <i>
      <x v="1"/>
    </i>
    <i>
      <x v="2"/>
    </i>
    <i>
      <x v="3"/>
    </i>
    <i>
      <x v="4"/>
    </i>
    <i>
      <x v="5"/>
    </i>
    <i t="grand">
      <x/>
    </i>
  </rowItems>
  <colFields count="1">
    <field x="-2"/>
  </colFields>
  <colItems count="6">
    <i>
      <x/>
    </i>
    <i i="1">
      <x v="1"/>
    </i>
    <i i="2">
      <x v="2"/>
    </i>
    <i i="3">
      <x v="3"/>
    </i>
    <i i="4">
      <x v="4"/>
    </i>
    <i i="5">
      <x v="5"/>
    </i>
  </colItems>
  <dataFields count="6">
    <dataField name="Count of Execution Time (T)" fld="8" subtotal="count" baseField="0" baseItem="0"/>
    <dataField name="Count of Latency (L)" fld="10" subtotal="count" baseField="0" baseItem="0"/>
    <dataField name="Count of Workload (W)" fld="11" subtotal="count" baseField="0" baseItem="0"/>
    <dataField name="Count of Cost /Price (c)" fld="12" subtotal="count" baseField="0" baseItem="0"/>
    <dataField name="Count of Cold start (S)" fld="9" subtotal="count" baseField="0" baseItem="0"/>
    <dataField name="Count of Throughput (P)" fld="13" subtotal="count" baseField="0" baseItem="0"/>
  </dataFields>
  <formats count="13">
    <format dxfId="60">
      <pivotArea type="all" dataOnly="0" outline="0" fieldPosition="0"/>
    </format>
    <format dxfId="59">
      <pivotArea outline="0" collapsedLevelsAreSubtotals="1" fieldPosition="0"/>
    </format>
    <format dxfId="58">
      <pivotArea field="0" type="button" dataOnly="0" labelOnly="1" outline="0" axis="axisRow" fieldPosition="0"/>
    </format>
    <format dxfId="57">
      <pivotArea dataOnly="0" labelOnly="1" fieldPosition="0">
        <references count="1">
          <reference field="0" count="0"/>
        </references>
      </pivotArea>
    </format>
    <format dxfId="56">
      <pivotArea dataOnly="0" labelOnly="1" grandRow="1" outline="0" fieldPosition="0"/>
    </format>
    <format dxfId="55">
      <pivotArea dataOnly="0" labelOnly="1" outline="0" fieldPosition="0">
        <references count="1">
          <reference field="4294967294" count="6">
            <x v="0"/>
            <x v="1"/>
            <x v="2"/>
            <x v="3"/>
            <x v="4"/>
            <x v="5"/>
          </reference>
        </references>
      </pivotArea>
    </format>
    <format dxfId="54">
      <pivotArea type="all" dataOnly="0" outline="0" fieldPosition="0"/>
    </format>
    <format dxfId="53">
      <pivotArea outline="0" collapsedLevelsAreSubtotals="1" fieldPosition="0"/>
    </format>
    <format dxfId="52">
      <pivotArea dataOnly="0" labelOnly="1" fieldPosition="0">
        <references count="1">
          <reference field="0" count="0"/>
        </references>
      </pivotArea>
    </format>
    <format dxfId="51">
      <pivotArea field="0" type="button" dataOnly="0" labelOnly="1" outline="0" axis="axisRow" fieldPosition="0"/>
    </format>
    <format dxfId="50">
      <pivotArea dataOnly="0" labelOnly="1" outline="0" fieldPosition="0">
        <references count="1">
          <reference field="4294967294" count="6">
            <x v="0"/>
            <x v="1"/>
            <x v="2"/>
            <x v="3"/>
            <x v="4"/>
            <x v="5"/>
          </reference>
        </references>
      </pivotArea>
    </format>
    <format dxfId="49">
      <pivotArea dataOnly="0" labelOnly="1" grandRow="1" outline="0" fieldPosition="0"/>
    </format>
    <format dxfId="48">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800-000007000000}" name="PivotTable1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B38:H44" firstHeaderRow="0" firstDataRow="1" firstDataCol="1"/>
  <pivotFields count="17">
    <pivotField axis="axisRow" showAll="0">
      <items count="6">
        <item x="0"/>
        <item x="1"/>
        <item x="2"/>
        <item x="3"/>
        <item x="4"/>
        <item t="default"/>
      </items>
    </pivotField>
    <pivotField showAll="0"/>
    <pivotField showAll="0"/>
    <pivotField showAll="0"/>
    <pivotField showAll="0"/>
    <pivotField showAll="0"/>
    <pivotField showAll="0"/>
    <pivotField showAll="0"/>
    <pivotField dataField="1" showAll="0">
      <items count="3">
        <item x="1"/>
        <item x="0"/>
        <item t="default"/>
      </items>
    </pivotField>
    <pivotField dataField="1" showAll="0">
      <items count="2">
        <item x="0"/>
        <item t="default"/>
      </items>
    </pivotField>
    <pivotField dataField="1" showAll="0">
      <items count="3">
        <item x="1"/>
        <item x="0"/>
        <item t="default"/>
      </items>
    </pivotField>
    <pivotField dataField="1" showAll="0">
      <items count="3">
        <item x="1"/>
        <item x="0"/>
        <item t="default"/>
      </items>
    </pivotField>
    <pivotField dataField="1" showAll="0">
      <items count="3">
        <item x="1"/>
        <item x="0"/>
        <item t="default"/>
      </items>
    </pivotField>
    <pivotField dataField="1" showAll="0">
      <items count="3">
        <item x="1"/>
        <item x="0"/>
        <item t="default"/>
      </items>
    </pivotField>
    <pivotField showAll="0"/>
    <pivotField showAll="0"/>
    <pivotField showAll="0"/>
  </pivotFields>
  <rowFields count="1">
    <field x="0"/>
  </rowFields>
  <rowItems count="6">
    <i>
      <x/>
    </i>
    <i>
      <x v="1"/>
    </i>
    <i>
      <x v="2"/>
    </i>
    <i>
      <x v="3"/>
    </i>
    <i>
      <x v="4"/>
    </i>
    <i t="grand">
      <x/>
    </i>
  </rowItems>
  <colFields count="1">
    <field x="-2"/>
  </colFields>
  <colItems count="6">
    <i>
      <x/>
    </i>
    <i i="1">
      <x v="1"/>
    </i>
    <i i="2">
      <x v="2"/>
    </i>
    <i i="3">
      <x v="3"/>
    </i>
    <i i="4">
      <x v="4"/>
    </i>
    <i i="5">
      <x v="5"/>
    </i>
  </colItems>
  <dataFields count="6">
    <dataField name="Count of Cold start (S)" fld="9" subtotal="count" baseField="0" baseItem="0"/>
    <dataField name="Count of Latency (L)" fld="10" subtotal="count" baseField="0" baseItem="0"/>
    <dataField name="Count of Cost /Price (c)" fld="12" subtotal="count" baseField="0" baseItem="0"/>
    <dataField name="Count of Execution Time (T)" fld="8" subtotal="count" baseField="0" baseItem="0"/>
    <dataField name="Count of Workload (W)" fld="11" subtotal="count" baseField="0" baseItem="0"/>
    <dataField name="Count of Throughput (P)" fld="13" subtotal="count" baseField="0" baseItem="0"/>
  </dataFields>
  <formats count="19">
    <format dxfId="79">
      <pivotArea type="all" dataOnly="0" outline="0" fieldPosition="0"/>
    </format>
    <format dxfId="78">
      <pivotArea outline="0" collapsedLevelsAreSubtotals="1" fieldPosition="0"/>
    </format>
    <format dxfId="77">
      <pivotArea field="0" type="button" dataOnly="0" labelOnly="1" outline="0" axis="axisRow" fieldPosition="0"/>
    </format>
    <format dxfId="76">
      <pivotArea dataOnly="0" labelOnly="1" fieldPosition="0">
        <references count="1">
          <reference field="0" count="0"/>
        </references>
      </pivotArea>
    </format>
    <format dxfId="75">
      <pivotArea dataOnly="0" labelOnly="1" grandRow="1" outline="0" fieldPosition="0"/>
    </format>
    <format dxfId="74">
      <pivotArea dataOnly="0" labelOnly="1" outline="0" fieldPosition="0">
        <references count="1">
          <reference field="4294967294" count="6">
            <x v="0"/>
            <x v="1"/>
            <x v="2"/>
            <x v="3"/>
            <x v="4"/>
            <x v="5"/>
          </reference>
        </references>
      </pivotArea>
    </format>
    <format dxfId="73">
      <pivotArea type="all" dataOnly="0" outline="0" fieldPosition="0"/>
    </format>
    <format dxfId="72">
      <pivotArea outline="0" collapsedLevelsAreSubtotals="1" fieldPosition="0"/>
    </format>
    <format dxfId="71">
      <pivotArea dataOnly="0" labelOnly="1" fieldPosition="0">
        <references count="1">
          <reference field="0" count="0"/>
        </references>
      </pivotArea>
    </format>
    <format dxfId="70">
      <pivotArea field="0" type="button" dataOnly="0" labelOnly="1" outline="0" axis="axisRow" fieldPosition="0"/>
    </format>
    <format dxfId="69">
      <pivotArea dataOnly="0" labelOnly="1" outline="0" fieldPosition="0">
        <references count="1">
          <reference field="4294967294" count="6">
            <x v="0"/>
            <x v="1"/>
            <x v="2"/>
            <x v="3"/>
            <x v="4"/>
            <x v="5"/>
          </reference>
        </references>
      </pivotArea>
    </format>
    <format dxfId="68">
      <pivotArea dataOnly="0" labelOnly="1" grandRow="1" outline="0" fieldPosition="0"/>
    </format>
    <format dxfId="67">
      <pivotArea type="all" dataOnly="0" outline="0" fieldPosition="0"/>
    </format>
    <format dxfId="66">
      <pivotArea outline="0" collapsedLevelsAreSubtotals="1" fieldPosition="0"/>
    </format>
    <format dxfId="65">
      <pivotArea field="0" type="button" dataOnly="0" labelOnly="1" outline="0" axis="axisRow" fieldPosition="0"/>
    </format>
    <format dxfId="64">
      <pivotArea dataOnly="0" labelOnly="1" fieldPosition="0">
        <references count="1">
          <reference field="0" count="0"/>
        </references>
      </pivotArea>
    </format>
    <format dxfId="63">
      <pivotArea dataOnly="0" labelOnly="1" grandRow="1" outline="0" fieldPosition="0"/>
    </format>
    <format dxfId="62">
      <pivotArea dataOnly="0" labelOnly="1" outline="0" fieldPosition="0">
        <references count="1">
          <reference field="4294967294" count="6">
            <x v="0"/>
            <x v="1"/>
            <x v="2"/>
            <x v="3"/>
            <x v="4"/>
            <x v="5"/>
          </reference>
        </references>
      </pivotArea>
    </format>
    <format dxfId="61">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800-000008000000}"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B11:H18" firstHeaderRow="0" firstDataRow="1" firstDataCol="1"/>
  <pivotFields count="17">
    <pivotField axis="axisRow" showAll="0">
      <items count="7">
        <item x="0"/>
        <item x="1"/>
        <item x="2"/>
        <item x="3"/>
        <item x="4"/>
        <item x="5"/>
        <item t="default"/>
      </items>
    </pivotField>
    <pivotField showAll="0"/>
    <pivotField showAll="0"/>
    <pivotField showAll="0"/>
    <pivotField showAll="0"/>
    <pivotField showAll="0"/>
    <pivotField showAll="0"/>
    <pivotField showAll="0"/>
    <pivotField dataField="1" showAll="0">
      <items count="3">
        <item x="1"/>
        <item x="0"/>
        <item t="default"/>
      </items>
    </pivotField>
    <pivotField dataField="1" showAll="0">
      <items count="3">
        <item x="1"/>
        <item x="0"/>
        <item t="default"/>
      </items>
    </pivotField>
    <pivotField dataField="1" showAll="0">
      <items count="3">
        <item x="1"/>
        <item x="0"/>
        <item t="default"/>
      </items>
    </pivotField>
    <pivotField dataField="1" showAll="0">
      <items count="3">
        <item x="1"/>
        <item x="0"/>
        <item t="default"/>
      </items>
    </pivotField>
    <pivotField dataField="1" showAll="0">
      <items count="2">
        <item x="0"/>
        <item t="default"/>
      </items>
    </pivotField>
    <pivotField dataField="1" showAll="0">
      <items count="3">
        <item x="1"/>
        <item x="0"/>
        <item t="default"/>
      </items>
    </pivotField>
    <pivotField showAll="0"/>
    <pivotField showAll="0"/>
    <pivotField showAll="0"/>
  </pivotFields>
  <rowFields count="1">
    <field x="0"/>
  </rowFields>
  <rowItems count="7">
    <i>
      <x/>
    </i>
    <i>
      <x v="1"/>
    </i>
    <i>
      <x v="2"/>
    </i>
    <i>
      <x v="3"/>
    </i>
    <i>
      <x v="4"/>
    </i>
    <i>
      <x v="5"/>
    </i>
    <i t="grand">
      <x/>
    </i>
  </rowItems>
  <colFields count="1">
    <field x="-2"/>
  </colFields>
  <colItems count="6">
    <i>
      <x/>
    </i>
    <i i="1">
      <x v="1"/>
    </i>
    <i i="2">
      <x v="2"/>
    </i>
    <i i="3">
      <x v="3"/>
    </i>
    <i i="4">
      <x v="4"/>
    </i>
    <i i="5">
      <x v="5"/>
    </i>
  </colItems>
  <dataFields count="6">
    <dataField name="Count of Cost /Price (c)" fld="12" subtotal="count" baseField="0" baseItem="0"/>
    <dataField name="Count of Latency (L)" fld="10" subtotal="count" baseField="0" baseItem="0"/>
    <dataField name="Count of Workload (W)" fld="11" subtotal="count" baseField="0" baseItem="0"/>
    <dataField name="Count of Execution Time (T)" fld="8" subtotal="count" baseField="0" baseItem="0"/>
    <dataField name="Count of Cold start (S)" fld="9" subtotal="count" baseField="0" baseItem="0"/>
    <dataField name="Count of Throughput (P)" fld="13" subtotal="count" baseField="0" baseItem="0"/>
  </dataFields>
  <formats count="19">
    <format dxfId="98">
      <pivotArea type="all" dataOnly="0" outline="0" fieldPosition="0"/>
    </format>
    <format dxfId="97">
      <pivotArea outline="0" collapsedLevelsAreSubtotals="1" fieldPosition="0"/>
    </format>
    <format dxfId="96">
      <pivotArea field="0" type="button" dataOnly="0" labelOnly="1" outline="0" axis="axisRow" fieldPosition="0"/>
    </format>
    <format dxfId="95">
      <pivotArea dataOnly="0" labelOnly="1" fieldPosition="0">
        <references count="1">
          <reference field="0" count="0"/>
        </references>
      </pivotArea>
    </format>
    <format dxfId="94">
      <pivotArea dataOnly="0" labelOnly="1" grandRow="1" outline="0" fieldPosition="0"/>
    </format>
    <format dxfId="93">
      <pivotArea dataOnly="0" labelOnly="1" outline="0" fieldPosition="0">
        <references count="1">
          <reference field="4294967294" count="6">
            <x v="0"/>
            <x v="1"/>
            <x v="2"/>
            <x v="3"/>
            <x v="4"/>
            <x v="5"/>
          </reference>
        </references>
      </pivotArea>
    </format>
    <format dxfId="92">
      <pivotArea type="all" dataOnly="0" outline="0" fieldPosition="0"/>
    </format>
    <format dxfId="91">
      <pivotArea outline="0" collapsedLevelsAreSubtotals="1" fieldPosition="0"/>
    </format>
    <format dxfId="90">
      <pivotArea dataOnly="0" labelOnly="1" fieldPosition="0">
        <references count="1">
          <reference field="0" count="0"/>
        </references>
      </pivotArea>
    </format>
    <format dxfId="89">
      <pivotArea field="0" type="button" dataOnly="0" labelOnly="1" outline="0" axis="axisRow" fieldPosition="0"/>
    </format>
    <format dxfId="88">
      <pivotArea dataOnly="0" labelOnly="1" outline="0" fieldPosition="0">
        <references count="1">
          <reference field="4294967294" count="6">
            <x v="0"/>
            <x v="1"/>
            <x v="2"/>
            <x v="3"/>
            <x v="4"/>
            <x v="5"/>
          </reference>
        </references>
      </pivotArea>
    </format>
    <format dxfId="87">
      <pivotArea dataOnly="0" labelOnly="1" grandRow="1" outline="0" fieldPosition="0"/>
    </format>
    <format dxfId="86">
      <pivotArea type="all" dataOnly="0" outline="0" fieldPosition="0"/>
    </format>
    <format dxfId="85">
      <pivotArea outline="0" collapsedLevelsAreSubtotals="1" fieldPosition="0"/>
    </format>
    <format dxfId="84">
      <pivotArea field="0" type="button" dataOnly="0" labelOnly="1" outline="0" axis="axisRow" fieldPosition="0"/>
    </format>
    <format dxfId="83">
      <pivotArea dataOnly="0" labelOnly="1" fieldPosition="0">
        <references count="1">
          <reference field="0" count="0"/>
        </references>
      </pivotArea>
    </format>
    <format dxfId="82">
      <pivotArea dataOnly="0" labelOnly="1" grandRow="1" outline="0" fieldPosition="0"/>
    </format>
    <format dxfId="81">
      <pivotArea dataOnly="0" labelOnly="1" outline="0" fieldPosition="0">
        <references count="1">
          <reference field="4294967294" count="6">
            <x v="0"/>
            <x v="1"/>
            <x v="2"/>
            <x v="3"/>
            <x v="4"/>
            <x v="5"/>
          </reference>
        </references>
      </pivotArea>
    </format>
    <format dxfId="80">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800-00000C000000}"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2:I58" firstHeaderRow="0" firstDataRow="1" firstDataCol="1"/>
  <pivotFields count="18">
    <pivotField axis="axisRow" showAll="0">
      <items count="6">
        <item x="0"/>
        <item x="1"/>
        <item x="2"/>
        <item x="3"/>
        <item x="4"/>
        <item t="default"/>
      </items>
    </pivotField>
    <pivotField showAll="0"/>
    <pivotField showAll="0"/>
    <pivotField showAll="0"/>
    <pivotField showAll="0"/>
    <pivotField showAll="0"/>
    <pivotField showAll="0"/>
    <pivotField showAll="0"/>
    <pivotField dataField="1" showAll="0">
      <items count="3">
        <item x="1"/>
        <item x="0"/>
        <item t="default"/>
      </items>
    </pivotField>
    <pivotField dataField="1" showAll="0">
      <items count="3">
        <item x="1"/>
        <item x="0"/>
        <item t="default"/>
      </items>
    </pivotField>
    <pivotField dataField="1" showAll="0">
      <items count="3">
        <item x="1"/>
        <item x="0"/>
        <item t="default"/>
      </items>
    </pivotField>
    <pivotField dataField="1" showAll="0">
      <items count="3">
        <item x="0"/>
        <item x="1"/>
        <item t="default"/>
      </items>
    </pivotField>
    <pivotField dataField="1" showAll="0">
      <items count="3">
        <item x="1"/>
        <item x="0"/>
        <item t="default"/>
      </items>
    </pivotField>
    <pivotField dataField="1" showAll="0">
      <items count="2">
        <item x="0"/>
        <item t="default"/>
      </items>
    </pivotField>
    <pivotField dataField="1" showAll="0">
      <items count="2">
        <item x="0"/>
        <item t="default"/>
      </items>
    </pivotField>
    <pivotField showAll="0"/>
    <pivotField showAll="0"/>
    <pivotField showAll="0"/>
  </pivotFields>
  <rowFields count="1">
    <field x="0"/>
  </rowFields>
  <rowItems count="6">
    <i>
      <x/>
    </i>
    <i>
      <x v="1"/>
    </i>
    <i>
      <x v="2"/>
    </i>
    <i>
      <x v="3"/>
    </i>
    <i>
      <x v="4"/>
    </i>
    <i t="grand">
      <x/>
    </i>
  </rowItems>
  <colFields count="1">
    <field x="-2"/>
  </colFields>
  <colItems count="7">
    <i>
      <x/>
    </i>
    <i i="1">
      <x v="1"/>
    </i>
    <i i="2">
      <x v="2"/>
    </i>
    <i i="3">
      <x v="3"/>
    </i>
    <i i="4">
      <x v="4"/>
    </i>
    <i i="5">
      <x v="5"/>
    </i>
    <i i="6">
      <x v="6"/>
    </i>
  </colItems>
  <dataFields count="7">
    <dataField name="Count of Resouce Allocation" fld="14" subtotal="count" baseField="0" baseItem="0"/>
    <dataField name="Count of Latency (L)" fld="10" subtotal="count" baseField="0" baseItem="0"/>
    <dataField name="Count of Throughput (P)" fld="13" subtotal="count" baseField="0" baseItem="0"/>
    <dataField name="Count of Cost /Price (c)" fld="12" subtotal="count" baseField="0" baseItem="0"/>
    <dataField name="Count of Workload (W)" fld="11" subtotal="count" baseField="0" baseItem="0"/>
    <dataField name="Count of Execution Time (T)" fld="8" subtotal="count" baseField="0" baseItem="0"/>
    <dataField name="Count of Cold start (S)" fld="9" subtotal="count" baseField="0" baseItem="0"/>
  </dataFields>
  <formats count="7">
    <format dxfId="105">
      <pivotArea type="all" dataOnly="0" outline="0" fieldPosition="0"/>
    </format>
    <format dxfId="104">
      <pivotArea outline="0" collapsedLevelsAreSubtotals="1" fieldPosition="0"/>
    </format>
    <format dxfId="103">
      <pivotArea field="0" type="button" dataOnly="0" labelOnly="1" outline="0" axis="axisRow" fieldPosition="0"/>
    </format>
    <format dxfId="102">
      <pivotArea dataOnly="0" labelOnly="1" fieldPosition="0">
        <references count="1">
          <reference field="0" count="0"/>
        </references>
      </pivotArea>
    </format>
    <format dxfId="101">
      <pivotArea dataOnly="0" labelOnly="1" grandRow="1" outline="0" fieldPosition="0"/>
    </format>
    <format dxfId="100">
      <pivotArea dataOnly="0" labelOnly="1" outline="0" fieldPosition="0">
        <references count="1">
          <reference field="4294967294" count="7">
            <x v="0"/>
            <x v="1"/>
            <x v="2"/>
            <x v="3"/>
            <x v="4"/>
            <x v="5"/>
            <x v="6"/>
          </reference>
        </references>
      </pivotArea>
    </format>
    <format dxfId="99">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800-00000A000000}"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B46:H50" firstHeaderRow="0" firstDataRow="1" firstDataCol="1"/>
  <pivotFields count="17">
    <pivotField axis="axisRow" showAll="0">
      <items count="4">
        <item x="0"/>
        <item x="1"/>
        <item x="2"/>
        <item t="default"/>
      </items>
    </pivotField>
    <pivotField showAll="0"/>
    <pivotField showAll="0"/>
    <pivotField showAll="0"/>
    <pivotField showAll="0"/>
    <pivotField showAll="0"/>
    <pivotField showAll="0"/>
    <pivotField showAll="0"/>
    <pivotField dataField="1" showAll="0">
      <items count="3">
        <item x="0"/>
        <item x="1"/>
        <item t="default"/>
      </items>
    </pivotField>
    <pivotField dataField="1" showAll="0">
      <items count="3">
        <item x="1"/>
        <item x="0"/>
        <item t="default"/>
      </items>
    </pivotField>
    <pivotField dataField="1" showAll="0">
      <items count="2">
        <item x="0"/>
        <item t="default"/>
      </items>
    </pivotField>
    <pivotField dataField="1" showAll="0">
      <items count="3">
        <item x="1"/>
        <item x="0"/>
        <item t="default"/>
      </items>
    </pivotField>
    <pivotField dataField="1" showAll="0">
      <items count="3">
        <item x="1"/>
        <item x="0"/>
        <item t="default"/>
      </items>
    </pivotField>
    <pivotField dataField="1" showAll="0">
      <items count="2">
        <item x="0"/>
        <item t="default"/>
      </items>
    </pivotField>
    <pivotField showAll="0"/>
    <pivotField showAll="0"/>
    <pivotField showAll="0"/>
  </pivotFields>
  <rowFields count="1">
    <field x="0"/>
  </rowFields>
  <rowItems count="4">
    <i>
      <x/>
    </i>
    <i>
      <x v="1"/>
    </i>
    <i>
      <x v="2"/>
    </i>
    <i t="grand">
      <x/>
    </i>
  </rowItems>
  <colFields count="1">
    <field x="-2"/>
  </colFields>
  <colItems count="6">
    <i>
      <x/>
    </i>
    <i i="1">
      <x v="1"/>
    </i>
    <i i="2">
      <x v="2"/>
    </i>
    <i i="3">
      <x v="3"/>
    </i>
    <i i="4">
      <x v="4"/>
    </i>
    <i i="5">
      <x v="5"/>
    </i>
  </colItems>
  <dataFields count="6">
    <dataField name="Count of Throughput (P)" fld="13" subtotal="count" baseField="0" baseItem="0"/>
    <dataField name="Count of Latency (L)" fld="10" subtotal="count" baseField="0" baseItem="0"/>
    <dataField name="Count of Cost /Price (c)" fld="12" subtotal="count" baseField="0" baseItem="0"/>
    <dataField name="Count of Workload (W)" fld="11" subtotal="count" baseField="0" baseItem="0"/>
    <dataField name="Count of Cold start (S)" fld="9" subtotal="count" baseField="0" baseItem="0"/>
    <dataField name="Count of Execution Time (T)" fld="8" subtotal="count" baseField="0" baseItem="0"/>
  </dataFields>
  <formats count="19">
    <format dxfId="124">
      <pivotArea type="all" dataOnly="0" outline="0" fieldPosition="0"/>
    </format>
    <format dxfId="123">
      <pivotArea outline="0" collapsedLevelsAreSubtotals="1" fieldPosition="0"/>
    </format>
    <format dxfId="122">
      <pivotArea field="0" type="button" dataOnly="0" labelOnly="1" outline="0" axis="axisRow" fieldPosition="0"/>
    </format>
    <format dxfId="121">
      <pivotArea dataOnly="0" labelOnly="1" fieldPosition="0">
        <references count="1">
          <reference field="0" count="0"/>
        </references>
      </pivotArea>
    </format>
    <format dxfId="120">
      <pivotArea dataOnly="0" labelOnly="1" grandRow="1" outline="0" fieldPosition="0"/>
    </format>
    <format dxfId="119">
      <pivotArea dataOnly="0" labelOnly="1" outline="0" fieldPosition="0">
        <references count="1">
          <reference field="4294967294" count="6">
            <x v="0"/>
            <x v="1"/>
            <x v="2"/>
            <x v="3"/>
            <x v="4"/>
            <x v="5"/>
          </reference>
        </references>
      </pivotArea>
    </format>
    <format dxfId="118">
      <pivotArea type="all" dataOnly="0" outline="0" fieldPosition="0"/>
    </format>
    <format dxfId="117">
      <pivotArea outline="0" collapsedLevelsAreSubtotals="1" fieldPosition="0"/>
    </format>
    <format dxfId="116">
      <pivotArea dataOnly="0" labelOnly="1" fieldPosition="0">
        <references count="1">
          <reference field="0" count="0"/>
        </references>
      </pivotArea>
    </format>
    <format dxfId="115">
      <pivotArea field="0" type="button" dataOnly="0" labelOnly="1" outline="0" axis="axisRow" fieldPosition="0"/>
    </format>
    <format dxfId="114">
      <pivotArea dataOnly="0" labelOnly="1" outline="0" fieldPosition="0">
        <references count="1">
          <reference field="4294967294" count="6">
            <x v="0"/>
            <x v="1"/>
            <x v="2"/>
            <x v="3"/>
            <x v="4"/>
            <x v="5"/>
          </reference>
        </references>
      </pivotArea>
    </format>
    <format dxfId="113">
      <pivotArea dataOnly="0" labelOnly="1" grandRow="1" outline="0" fieldPosition="0"/>
    </format>
    <format dxfId="112">
      <pivotArea type="all" dataOnly="0" outline="0" fieldPosition="0"/>
    </format>
    <format dxfId="111">
      <pivotArea outline="0" collapsedLevelsAreSubtotals="1" fieldPosition="0"/>
    </format>
    <format dxfId="110">
      <pivotArea field="0" type="button" dataOnly="0" labelOnly="1" outline="0" axis="axisRow" fieldPosition="0"/>
    </format>
    <format dxfId="109">
      <pivotArea dataOnly="0" labelOnly="1" fieldPosition="0">
        <references count="1">
          <reference field="0" count="0"/>
        </references>
      </pivotArea>
    </format>
    <format dxfId="108">
      <pivotArea dataOnly="0" labelOnly="1" grandRow="1" outline="0" fieldPosition="0"/>
    </format>
    <format dxfId="107">
      <pivotArea dataOnly="0" labelOnly="1" outline="0" fieldPosition="0">
        <references count="1">
          <reference field="4294967294" count="6">
            <x v="0"/>
            <x v="1"/>
            <x v="2"/>
            <x v="3"/>
            <x v="4"/>
            <x v="5"/>
          </reference>
        </references>
      </pivotArea>
    </format>
    <format dxfId="106">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R82" totalsRowShown="0" headerRowDxfId="344" headerRowBorderDxfId="343" tableBorderDxfId="342" totalsRowBorderDxfId="341">
  <autoFilter ref="A1:R82" xr:uid="{00000000-0009-0000-0100-000001000000}"/>
  <sortState xmlns:xlrd2="http://schemas.microsoft.com/office/spreadsheetml/2017/richdata2" ref="A2:R82">
    <sortCondition ref="A1:A82"/>
  </sortState>
  <tableColumns count="18">
    <tableColumn id="1" xr3:uid="{00000000-0010-0000-0000-000001000000}" name="Year" dataDxfId="340"/>
    <tableColumn id="2" xr3:uid="{00000000-0010-0000-0000-000002000000}" name="Authors" dataDxfId="339"/>
    <tableColumn id="3" xr3:uid="{00000000-0010-0000-0000-000003000000}" name="Title" dataDxfId="338"/>
    <tableColumn id="4" xr3:uid="{00000000-0010-0000-0000-000004000000}" name="Abstract" dataDxfId="337"/>
    <tableColumn id="5" xr3:uid="{00000000-0010-0000-0000-000005000000}" name="Publication Stage" dataDxfId="336"/>
    <tableColumn id="6" xr3:uid="{00000000-0010-0000-0000-000006000000}" name="Publisher" dataDxfId="335"/>
    <tableColumn id="8" xr3:uid="{00000000-0010-0000-0000-000008000000}" name="Scoope" dataDxfId="334"/>
    <tableColumn id="9" xr3:uid="{00000000-0010-0000-0000-000009000000}" name="Blank" dataDxfId="333"/>
    <tableColumn id="11" xr3:uid="{00000000-0010-0000-0000-00000B000000}" name="Execution Time (T)" dataDxfId="332"/>
    <tableColumn id="12" xr3:uid="{00000000-0010-0000-0000-00000C000000}" name="Cold start (S)" dataDxfId="331"/>
    <tableColumn id="13" xr3:uid="{00000000-0010-0000-0000-00000D000000}" name="Latency (L)" dataDxfId="330"/>
    <tableColumn id="14" xr3:uid="{00000000-0010-0000-0000-00000E000000}" name="Workload (W)" dataDxfId="329"/>
    <tableColumn id="7" xr3:uid="{00000000-0010-0000-0000-000007000000}" name="Cost /Price (c)" dataDxfId="328"/>
    <tableColumn id="18" xr3:uid="{00000000-0010-0000-0000-000012000000}" name="Throughput (P)" dataDxfId="327"/>
    <tableColumn id="10" xr3:uid="{00000000-0010-0000-0000-00000A000000}" name="Resouce Allocation" dataDxfId="326"/>
    <tableColumn id="15" xr3:uid="{00000000-0010-0000-0000-00000F000000}" name="Method/Technique" dataDxfId="325"/>
    <tableColumn id="16" xr3:uid="{00000000-0010-0000-0000-000010000000}" name="Contribution of the research" dataDxfId="324"/>
    <tableColumn id="17" xr3:uid="{00000000-0010-0000-0000-000011000000}" name="No. of Metrics" dataDxfId="323">
      <calculatedColumnFormula>(COUNTA(Table1[[#This Row],[Throughput (P)]],Table1[[#This Row],[Cost /Price (c)]],Table1[[#This Row],[Workload (W)]],Table1[[#This Row],[Latency (L)]],Table1[[#This Row],[Cold start (S)]],Table1[[#This Row],[Execution Time (T)]]))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Q47" totalsRowShown="0" headerRowDxfId="306" headerRowBorderDxfId="305" tableBorderDxfId="304">
  <autoFilter ref="A1:Q47" xr:uid="{00000000-0009-0000-0100-000002000000}"/>
  <tableColumns count="17">
    <tableColumn id="1" xr3:uid="{00000000-0010-0000-0100-000001000000}" name="Year" dataDxfId="303"/>
    <tableColumn id="2" xr3:uid="{00000000-0010-0000-0100-000002000000}" name="Authors" dataDxfId="302"/>
    <tableColumn id="3" xr3:uid="{00000000-0010-0000-0100-000003000000}" name="Title" dataDxfId="301"/>
    <tableColumn id="4" xr3:uid="{00000000-0010-0000-0100-000004000000}" name="Abstract" dataDxfId="300"/>
    <tableColumn id="5" xr3:uid="{00000000-0010-0000-0100-000005000000}" name="Publication Stage" dataDxfId="299"/>
    <tableColumn id="6" xr3:uid="{00000000-0010-0000-0100-000006000000}" name="Publisher" dataDxfId="298"/>
    <tableColumn id="7" xr3:uid="{00000000-0010-0000-0100-000007000000}" name="Scoope" dataDxfId="297"/>
    <tableColumn id="8" xr3:uid="{00000000-0010-0000-0100-000008000000}" name="Factors" dataDxfId="296"/>
    <tableColumn id="9" xr3:uid="{00000000-0010-0000-0100-000009000000}" name="Execution Time (T)" dataDxfId="295"/>
    <tableColumn id="10" xr3:uid="{00000000-0010-0000-0100-00000A000000}" name="Cold start (S)" dataDxfId="294"/>
    <tableColumn id="11" xr3:uid="{00000000-0010-0000-0100-00000B000000}" name="Latency (L)" dataDxfId="293"/>
    <tableColumn id="12" xr3:uid="{00000000-0010-0000-0100-00000C000000}" name="Workload (W)" dataDxfId="292"/>
    <tableColumn id="13" xr3:uid="{00000000-0010-0000-0100-00000D000000}" name="Cost /Price (c)" dataDxfId="291"/>
    <tableColumn id="14" xr3:uid="{00000000-0010-0000-0100-00000E000000}" name="Throughput (P)" dataDxfId="290"/>
    <tableColumn id="15" xr3:uid="{00000000-0010-0000-0100-00000F000000}" name="Method/Technique" dataDxfId="289"/>
    <tableColumn id="16" xr3:uid="{00000000-0010-0000-0100-000010000000}" name="Contribution of the research" dataDxfId="288"/>
    <tableColumn id="17" xr3:uid="{00000000-0010-0000-0100-000011000000}" name="Column2" dataDxfId="28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Q37" totalsRowShown="0" headerRowDxfId="280" headerRowBorderDxfId="279" tableBorderDxfId="278">
  <autoFilter ref="A1:Q37" xr:uid="{00000000-0009-0000-0100-000003000000}"/>
  <tableColumns count="17">
    <tableColumn id="1" xr3:uid="{00000000-0010-0000-0200-000001000000}" name="Year" dataDxfId="277"/>
    <tableColumn id="2" xr3:uid="{00000000-0010-0000-0200-000002000000}" name="Authors" dataDxfId="276"/>
    <tableColumn id="3" xr3:uid="{00000000-0010-0000-0200-000003000000}" name="Title" dataDxfId="275"/>
    <tableColumn id="4" xr3:uid="{00000000-0010-0000-0200-000004000000}" name="Abstract" dataDxfId="274"/>
    <tableColumn id="5" xr3:uid="{00000000-0010-0000-0200-000005000000}" name="Publication Stage" dataDxfId="273"/>
    <tableColumn id="6" xr3:uid="{00000000-0010-0000-0200-000006000000}" name="Publisher" dataDxfId="272"/>
    <tableColumn id="7" xr3:uid="{00000000-0010-0000-0200-000007000000}" name="Scoope" dataDxfId="271"/>
    <tableColumn id="8" xr3:uid="{00000000-0010-0000-0200-000008000000}" name="Factors" dataDxfId="270"/>
    <tableColumn id="9" xr3:uid="{00000000-0010-0000-0200-000009000000}" name="Execution Time (T)" dataDxfId="269"/>
    <tableColumn id="10" xr3:uid="{00000000-0010-0000-0200-00000A000000}" name="Cold start (S)" dataDxfId="268"/>
    <tableColumn id="11" xr3:uid="{00000000-0010-0000-0200-00000B000000}" name="Latency (L)" dataDxfId="267"/>
    <tableColumn id="12" xr3:uid="{00000000-0010-0000-0200-00000C000000}" name="Workload (W)" dataDxfId="266"/>
    <tableColumn id="13" xr3:uid="{00000000-0010-0000-0200-00000D000000}" name="Cost /Price (c)" dataDxfId="265"/>
    <tableColumn id="14" xr3:uid="{00000000-0010-0000-0200-00000E000000}" name="Throughput (P)" dataDxfId="264"/>
    <tableColumn id="15" xr3:uid="{00000000-0010-0000-0200-00000F000000}" name="Method/Technique" dataDxfId="263"/>
    <tableColumn id="16" xr3:uid="{00000000-0010-0000-0200-000010000000}" name="Contribution of the research" dataDxfId="262"/>
    <tableColumn id="17" xr3:uid="{00000000-0010-0000-0200-000011000000}" name="Column2" dataDxfId="26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1:Q24" totalsRowShown="0" headerRowDxfId="254" headerRowBorderDxfId="253" tableBorderDxfId="252">
  <autoFilter ref="A1:Q24" xr:uid="{00000000-0009-0000-0100-000004000000}"/>
  <tableColumns count="17">
    <tableColumn id="1" xr3:uid="{00000000-0010-0000-0300-000001000000}" name="Year" dataDxfId="251"/>
    <tableColumn id="2" xr3:uid="{00000000-0010-0000-0300-000002000000}" name="Authors" dataDxfId="250"/>
    <tableColumn id="3" xr3:uid="{00000000-0010-0000-0300-000003000000}" name="Title"/>
    <tableColumn id="4" xr3:uid="{00000000-0010-0000-0300-000004000000}" name="Abstract" dataDxfId="249"/>
    <tableColumn id="5" xr3:uid="{00000000-0010-0000-0300-000005000000}" name="Publication Stage" dataDxfId="248"/>
    <tableColumn id="6" xr3:uid="{00000000-0010-0000-0300-000006000000}" name="Publisher" dataDxfId="247"/>
    <tableColumn id="7" xr3:uid="{00000000-0010-0000-0300-000007000000}" name="Scoope" dataDxfId="246"/>
    <tableColumn id="8" xr3:uid="{00000000-0010-0000-0300-000008000000}" name="Factors" dataDxfId="245"/>
    <tableColumn id="9" xr3:uid="{00000000-0010-0000-0300-000009000000}" name="Execution Time (T)" dataDxfId="244"/>
    <tableColumn id="10" xr3:uid="{00000000-0010-0000-0300-00000A000000}" name="Cold start (S)" dataDxfId="243"/>
    <tableColumn id="11" xr3:uid="{00000000-0010-0000-0300-00000B000000}" name="Latency (L)" dataDxfId="242"/>
    <tableColumn id="12" xr3:uid="{00000000-0010-0000-0300-00000C000000}" name="Workload (W)" dataDxfId="241"/>
    <tableColumn id="13" xr3:uid="{00000000-0010-0000-0300-00000D000000}" name="Cost /Price (c)" dataDxfId="240"/>
    <tableColumn id="14" xr3:uid="{00000000-0010-0000-0300-00000E000000}" name="Throughput (P)" dataDxfId="239"/>
    <tableColumn id="15" xr3:uid="{00000000-0010-0000-0300-00000F000000}" name="Method/Technique" dataDxfId="238"/>
    <tableColumn id="16" xr3:uid="{00000000-0010-0000-0300-000010000000}" name="Contribution of the research" dataDxfId="237"/>
    <tableColumn id="17" xr3:uid="{00000000-0010-0000-0300-000011000000}" name="Column2" dataDxfId="23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1:Q21" totalsRowShown="0" headerRowDxfId="228" headerRowBorderDxfId="227" tableBorderDxfId="226">
  <autoFilter ref="A1:Q21" xr:uid="{00000000-0009-0000-0100-000005000000}"/>
  <tableColumns count="17">
    <tableColumn id="1" xr3:uid="{00000000-0010-0000-0400-000001000000}" name="Year" dataDxfId="225"/>
    <tableColumn id="2" xr3:uid="{00000000-0010-0000-0400-000002000000}" name="Authors" dataDxfId="224"/>
    <tableColumn id="3" xr3:uid="{00000000-0010-0000-0400-000003000000}" name="Title" dataDxfId="223"/>
    <tableColumn id="4" xr3:uid="{00000000-0010-0000-0400-000004000000}" name="Abstract" dataDxfId="222"/>
    <tableColumn id="5" xr3:uid="{00000000-0010-0000-0400-000005000000}" name="Publication Stage" dataDxfId="221"/>
    <tableColumn id="6" xr3:uid="{00000000-0010-0000-0400-000006000000}" name="Publisher" dataDxfId="220"/>
    <tableColumn id="7" xr3:uid="{00000000-0010-0000-0400-000007000000}" name="Scoope" dataDxfId="219"/>
    <tableColumn id="8" xr3:uid="{00000000-0010-0000-0400-000008000000}" name="Factors" dataDxfId="218"/>
    <tableColumn id="9" xr3:uid="{00000000-0010-0000-0400-000009000000}" name="Execution Time (T)" dataDxfId="217"/>
    <tableColumn id="10" xr3:uid="{00000000-0010-0000-0400-00000A000000}" name="Cold start (S)" dataDxfId="216"/>
    <tableColumn id="11" xr3:uid="{00000000-0010-0000-0400-00000B000000}" name="Latency (L)" dataDxfId="215"/>
    <tableColumn id="12" xr3:uid="{00000000-0010-0000-0400-00000C000000}" name="Workload (W)" dataDxfId="214"/>
    <tableColumn id="13" xr3:uid="{00000000-0010-0000-0400-00000D000000}" name="Cost /Price (c)" dataDxfId="213"/>
    <tableColumn id="14" xr3:uid="{00000000-0010-0000-0400-00000E000000}" name="Throughput (P)" dataDxfId="212"/>
    <tableColumn id="15" xr3:uid="{00000000-0010-0000-0400-00000F000000}" name="Method/Technique" dataDxfId="211"/>
    <tableColumn id="16" xr3:uid="{00000000-0010-0000-0400-000010000000}" name="Contribution of the research" dataDxfId="210"/>
    <tableColumn id="17" xr3:uid="{00000000-0010-0000-0400-000011000000}" name="Column2" dataDxfId="20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1:Q17" totalsRowShown="0" headerRowDxfId="196" dataDxfId="194" headerRowBorderDxfId="195" tableBorderDxfId="193" totalsRowBorderDxfId="192">
  <autoFilter ref="A1:Q17" xr:uid="{00000000-0009-0000-0100-000006000000}"/>
  <tableColumns count="17">
    <tableColumn id="1" xr3:uid="{00000000-0010-0000-0500-000001000000}" name="Year" dataDxfId="191"/>
    <tableColumn id="2" xr3:uid="{00000000-0010-0000-0500-000002000000}" name="Authors" dataDxfId="190"/>
    <tableColumn id="3" xr3:uid="{00000000-0010-0000-0500-000003000000}" name="Title" dataDxfId="189"/>
    <tableColumn id="4" xr3:uid="{00000000-0010-0000-0500-000004000000}" name="Abstract" dataDxfId="188"/>
    <tableColumn id="5" xr3:uid="{00000000-0010-0000-0500-000005000000}" name="Publication Stage" dataDxfId="187"/>
    <tableColumn id="6" xr3:uid="{00000000-0010-0000-0500-000006000000}" name="Publisher" dataDxfId="186"/>
    <tableColumn id="7" xr3:uid="{00000000-0010-0000-0500-000007000000}" name="Scoope" dataDxfId="185"/>
    <tableColumn id="8" xr3:uid="{00000000-0010-0000-0500-000008000000}" name="Factors" dataDxfId="184"/>
    <tableColumn id="9" xr3:uid="{00000000-0010-0000-0500-000009000000}" name="Execution Time (T)" dataDxfId="183"/>
    <tableColumn id="10" xr3:uid="{00000000-0010-0000-0500-00000A000000}" name="Cold start (S)" dataDxfId="182"/>
    <tableColumn id="11" xr3:uid="{00000000-0010-0000-0500-00000B000000}" name="Latency (L)" dataDxfId="181"/>
    <tableColumn id="12" xr3:uid="{00000000-0010-0000-0500-00000C000000}" name="Workload (W)" dataDxfId="180"/>
    <tableColumn id="13" xr3:uid="{00000000-0010-0000-0500-00000D000000}" name="Cost /Price (c)" dataDxfId="179"/>
    <tableColumn id="14" xr3:uid="{00000000-0010-0000-0500-00000E000000}" name="Throughput (P)" dataDxfId="178"/>
    <tableColumn id="15" xr3:uid="{00000000-0010-0000-0500-00000F000000}" name="Method/Technique" dataDxfId="177"/>
    <tableColumn id="16" xr3:uid="{00000000-0010-0000-0500-000010000000}" name="Contribution of the research" dataDxfId="176"/>
    <tableColumn id="17" xr3:uid="{00000000-0010-0000-0500-000011000000}" name="Column2" dataDxfId="175"/>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6000000}" name="Table8" displayName="Table8" ref="A1:R11" totalsRowShown="0" headerRowDxfId="168" headerRowBorderDxfId="167" tableBorderDxfId="166">
  <autoFilter ref="A1:R11" xr:uid="{00000000-0009-0000-0100-000008000000}"/>
  <tableColumns count="18">
    <tableColumn id="1" xr3:uid="{00000000-0010-0000-0600-000001000000}" name="Year" dataDxfId="165"/>
    <tableColumn id="2" xr3:uid="{00000000-0010-0000-0600-000002000000}" name="Authors" dataDxfId="164"/>
    <tableColumn id="3" xr3:uid="{00000000-0010-0000-0600-000003000000}" name="Title" dataDxfId="163"/>
    <tableColumn id="4" xr3:uid="{00000000-0010-0000-0600-000004000000}" name="Abstract" dataDxfId="162"/>
    <tableColumn id="5" xr3:uid="{00000000-0010-0000-0600-000005000000}" name="Publication Stage" dataDxfId="161"/>
    <tableColumn id="6" xr3:uid="{00000000-0010-0000-0600-000006000000}" name="Publisher" dataDxfId="160"/>
    <tableColumn id="7" xr3:uid="{00000000-0010-0000-0600-000007000000}" name="Scoope"/>
    <tableColumn id="8" xr3:uid="{00000000-0010-0000-0600-000008000000}" name="Blank" dataDxfId="159"/>
    <tableColumn id="9" xr3:uid="{00000000-0010-0000-0600-000009000000}" name="Execution Time (T)" dataDxfId="158"/>
    <tableColumn id="10" xr3:uid="{00000000-0010-0000-0600-00000A000000}" name="Cold start (S)" dataDxfId="157"/>
    <tableColumn id="11" xr3:uid="{00000000-0010-0000-0600-00000B000000}" name="Latency (L)" dataDxfId="156"/>
    <tableColumn id="12" xr3:uid="{00000000-0010-0000-0600-00000C000000}" name="Workload (W)" dataDxfId="155"/>
    <tableColumn id="13" xr3:uid="{00000000-0010-0000-0600-00000D000000}" name="Cost /Price (c)" dataDxfId="154"/>
    <tableColumn id="14" xr3:uid="{00000000-0010-0000-0600-00000E000000}" name="Throughput (P)" dataDxfId="153"/>
    <tableColumn id="15" xr3:uid="{00000000-0010-0000-0600-00000F000000}" name="Resouce Allocation" dataDxfId="152"/>
    <tableColumn id="16" xr3:uid="{00000000-0010-0000-0600-000010000000}" name="Method/Technique" dataDxfId="151"/>
    <tableColumn id="17" xr3:uid="{00000000-0010-0000-0600-000011000000}" name="Contribution of the research" dataDxfId="150"/>
    <tableColumn id="18" xr3:uid="{00000000-0010-0000-0600-000012000000}" name="No. of Metrics" dataDxfId="149"/>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7000000}" name="Table7" displayName="Table7" ref="A1:Q6" totalsRowShown="0" headerRowDxfId="142" headerRowBorderDxfId="141" tableBorderDxfId="140">
  <autoFilter ref="A1:Q6" xr:uid="{00000000-0009-0000-0100-000007000000}"/>
  <tableColumns count="17">
    <tableColumn id="1" xr3:uid="{00000000-0010-0000-0700-000001000000}" name="Year"/>
    <tableColumn id="2" xr3:uid="{00000000-0010-0000-0700-000002000000}" name="Authors" dataDxfId="139"/>
    <tableColumn id="3" xr3:uid="{00000000-0010-0000-0700-000003000000}" name="Title" dataDxfId="138"/>
    <tableColumn id="4" xr3:uid="{00000000-0010-0000-0700-000004000000}" name="Abstract" dataDxfId="137"/>
    <tableColumn id="5" xr3:uid="{00000000-0010-0000-0700-000005000000}" name="Publication Stage" dataDxfId="136"/>
    <tableColumn id="6" xr3:uid="{00000000-0010-0000-0700-000006000000}" name="Publisher" dataDxfId="135"/>
    <tableColumn id="7" xr3:uid="{00000000-0010-0000-0700-000007000000}" name="Scoope"/>
    <tableColumn id="8" xr3:uid="{00000000-0010-0000-0700-000008000000}" name="Factors" dataDxfId="134"/>
    <tableColumn id="9" xr3:uid="{00000000-0010-0000-0700-000009000000}" name="Execution Time (T)" dataDxfId="133"/>
    <tableColumn id="10" xr3:uid="{00000000-0010-0000-0700-00000A000000}" name="Cold start (S)" dataDxfId="132"/>
    <tableColumn id="11" xr3:uid="{00000000-0010-0000-0700-00000B000000}" name="Latency (L)" dataDxfId="131"/>
    <tableColumn id="12" xr3:uid="{00000000-0010-0000-0700-00000C000000}" name="Workload (W)" dataDxfId="130"/>
    <tableColumn id="13" xr3:uid="{00000000-0010-0000-0700-00000D000000}" name="Cost /Price (c)" dataDxfId="129"/>
    <tableColumn id="14" xr3:uid="{00000000-0010-0000-0700-00000E000000}" name="Throughput (P)" dataDxfId="128"/>
    <tableColumn id="15" xr3:uid="{00000000-0010-0000-0700-00000F000000}" name="Method/Technique" dataDxfId="127"/>
    <tableColumn id="16" xr3:uid="{00000000-0010-0000-0700-000010000000}" name="Contribution of the research" dataDxfId="126"/>
    <tableColumn id="17" xr3:uid="{00000000-0010-0000-0700-000011000000}" name="Column2" dataDxfId="12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9"/>
  <sheetViews>
    <sheetView tabSelected="1" topLeftCell="A26" zoomScaleNormal="100" workbookViewId="0">
      <selection activeCell="J44" sqref="J44"/>
    </sheetView>
  </sheetViews>
  <sheetFormatPr defaultRowHeight="14.4" x14ac:dyDescent="0.3"/>
  <cols>
    <col min="1" max="1" width="6.5546875" customWidth="1"/>
    <col min="2" max="2" width="15.33203125" customWidth="1"/>
    <col min="3" max="3" width="52.33203125" customWidth="1"/>
    <col min="4" max="4" width="14.5546875" customWidth="1"/>
    <col min="5" max="5" width="8" customWidth="1"/>
    <col min="6" max="6" width="11" customWidth="1"/>
    <col min="7" max="7" width="33.109375" customWidth="1"/>
    <col min="8" max="8" width="8.44140625" style="5" customWidth="1"/>
    <col min="9" max="9" width="10.44140625" style="5" customWidth="1"/>
    <col min="10" max="10" width="8.6640625" style="5" customWidth="1"/>
    <col min="11" max="11" width="6.6640625" customWidth="1"/>
    <col min="12" max="12" width="13.109375" customWidth="1"/>
    <col min="13" max="13" width="7.109375" style="19" customWidth="1"/>
    <col min="14" max="14" width="7" style="19" customWidth="1"/>
    <col min="15" max="15" width="11.5546875" customWidth="1"/>
    <col min="16" max="16" width="13.33203125" customWidth="1"/>
    <col min="17" max="17" width="13.6640625" customWidth="1"/>
    <col min="18" max="18" width="13.77734375" customWidth="1"/>
  </cols>
  <sheetData>
    <row r="1" spans="1:18" x14ac:dyDescent="0.3">
      <c r="A1" s="76" t="s">
        <v>0</v>
      </c>
      <c r="B1" s="77" t="s">
        <v>1</v>
      </c>
      <c r="C1" s="77" t="s">
        <v>2</v>
      </c>
      <c r="D1" s="77" t="s">
        <v>3</v>
      </c>
      <c r="E1" s="77" t="s">
        <v>4</v>
      </c>
      <c r="F1" s="77" t="s">
        <v>5</v>
      </c>
      <c r="G1" s="77" t="s">
        <v>173</v>
      </c>
      <c r="H1" s="77" t="s">
        <v>538</v>
      </c>
      <c r="I1" s="90" t="s">
        <v>439</v>
      </c>
      <c r="J1" s="90" t="s">
        <v>284</v>
      </c>
      <c r="K1" s="90" t="s">
        <v>285</v>
      </c>
      <c r="L1" s="78" t="s">
        <v>286</v>
      </c>
      <c r="M1" s="78" t="s">
        <v>289</v>
      </c>
      <c r="N1" s="78" t="s">
        <v>300</v>
      </c>
      <c r="O1" s="78" t="s">
        <v>539</v>
      </c>
      <c r="P1" s="78" t="s">
        <v>174</v>
      </c>
      <c r="Q1" s="78" t="s">
        <v>253</v>
      </c>
      <c r="R1" s="78" t="s">
        <v>534</v>
      </c>
    </row>
    <row r="2" spans="1:18" x14ac:dyDescent="0.3">
      <c r="A2" s="8">
        <v>2020</v>
      </c>
      <c r="B2" s="3" t="s">
        <v>155</v>
      </c>
      <c r="C2" s="3" t="s">
        <v>156</v>
      </c>
      <c r="D2" s="3" t="s">
        <v>158</v>
      </c>
      <c r="E2" s="3" t="s">
        <v>157</v>
      </c>
      <c r="F2" s="3" t="s">
        <v>154</v>
      </c>
      <c r="G2" s="88" t="s">
        <v>553</v>
      </c>
      <c r="H2" s="4">
        <v>0</v>
      </c>
      <c r="I2" s="4"/>
      <c r="J2" s="4"/>
      <c r="K2" s="4"/>
      <c r="L2" s="6"/>
      <c r="M2" s="6" t="s">
        <v>191</v>
      </c>
      <c r="N2" s="6"/>
      <c r="O2" s="6"/>
      <c r="P2" s="7" t="s">
        <v>255</v>
      </c>
      <c r="Q2" s="17" t="s">
        <v>254</v>
      </c>
      <c r="R2" s="6">
        <f>(COUNTA(Table1[[#This Row],[Throughput (P)]],Table1[[#This Row],[Cost /Price (c)]],Table1[[#This Row],[Workload (W)]],Table1[[#This Row],[Latency (L)]],Table1[[#This Row],[Cold start (S)]],Table1[[#This Row],[Execution Time (T)]],Table1[[#This Row],[Resouce Allocation]]))</f>
        <v>1</v>
      </c>
    </row>
    <row r="3" spans="1:18" x14ac:dyDescent="0.3">
      <c r="A3" s="8">
        <v>2020</v>
      </c>
      <c r="B3" s="3" t="s">
        <v>77</v>
      </c>
      <c r="C3" s="3" t="s">
        <v>78</v>
      </c>
      <c r="D3" s="3" t="s">
        <v>79</v>
      </c>
      <c r="E3" s="3" t="s">
        <v>6</v>
      </c>
      <c r="F3" s="3" t="s">
        <v>7</v>
      </c>
      <c r="G3" s="3" t="s">
        <v>282</v>
      </c>
      <c r="H3" s="4">
        <v>0</v>
      </c>
      <c r="I3" s="4"/>
      <c r="J3" s="4"/>
      <c r="K3" s="4" t="s">
        <v>192</v>
      </c>
      <c r="L3" s="4"/>
      <c r="M3" s="4"/>
      <c r="N3" s="4"/>
      <c r="O3" s="4"/>
      <c r="P3" s="7" t="s">
        <v>256</v>
      </c>
      <c r="Q3" s="7" t="s">
        <v>257</v>
      </c>
      <c r="R3" s="6">
        <f>(COUNTA(Table1[[#This Row],[Throughput (P)]],Table1[[#This Row],[Cost /Price (c)]],Table1[[#This Row],[Workload (W)]],Table1[[#This Row],[Latency (L)]],Table1[[#This Row],[Cold start (S)]],Table1[[#This Row],[Execution Time (T)]],Table1[[#This Row],[Resouce Allocation]]))</f>
        <v>1</v>
      </c>
    </row>
    <row r="4" spans="1:18" ht="15" customHeight="1" x14ac:dyDescent="0.3">
      <c r="A4" s="8">
        <v>2020</v>
      </c>
      <c r="B4" s="3" t="s">
        <v>82</v>
      </c>
      <c r="C4" s="3" t="s">
        <v>83</v>
      </c>
      <c r="D4" s="3" t="s">
        <v>84</v>
      </c>
      <c r="E4" s="3" t="s">
        <v>6</v>
      </c>
      <c r="F4" s="3" t="s">
        <v>7</v>
      </c>
      <c r="G4" s="101" t="s">
        <v>177</v>
      </c>
      <c r="H4" s="4">
        <v>0</v>
      </c>
      <c r="I4" s="4"/>
      <c r="J4" s="4"/>
      <c r="K4" s="4"/>
      <c r="L4" s="4" t="s">
        <v>193</v>
      </c>
      <c r="M4" s="4"/>
      <c r="N4" s="4"/>
      <c r="O4" s="4" t="s">
        <v>540</v>
      </c>
      <c r="P4" s="7" t="s">
        <v>258</v>
      </c>
      <c r="Q4" s="7" t="s">
        <v>259</v>
      </c>
      <c r="R4" s="6">
        <f>(COUNTA(Table1[[#This Row],[Throughput (P)]],Table1[[#This Row],[Cost /Price (c)]],Table1[[#This Row],[Workload (W)]],Table1[[#This Row],[Latency (L)]],Table1[[#This Row],[Cold start (S)]],Table1[[#This Row],[Execution Time (T)]],Table1[[#This Row],[Resouce Allocation]]))</f>
        <v>2</v>
      </c>
    </row>
    <row r="5" spans="1:18" x14ac:dyDescent="0.3">
      <c r="A5" s="8">
        <v>2020</v>
      </c>
      <c r="B5" s="3" t="s">
        <v>68</v>
      </c>
      <c r="C5" s="3" t="s">
        <v>69</v>
      </c>
      <c r="D5" s="3" t="s">
        <v>70</v>
      </c>
      <c r="E5" s="3" t="s">
        <v>6</v>
      </c>
      <c r="F5" s="3" t="s">
        <v>7</v>
      </c>
      <c r="G5" s="87" t="s">
        <v>283</v>
      </c>
      <c r="H5" s="4">
        <v>0</v>
      </c>
      <c r="I5" s="4"/>
      <c r="J5" s="4"/>
      <c r="K5" s="4" t="s">
        <v>192</v>
      </c>
      <c r="L5" s="4"/>
      <c r="M5" s="4"/>
      <c r="N5" s="4"/>
      <c r="O5" s="4"/>
      <c r="P5" s="7" t="s">
        <v>261</v>
      </c>
      <c r="Q5" s="7" t="s">
        <v>260</v>
      </c>
      <c r="R5" s="6">
        <f>(COUNTA(Table1[[#This Row],[Throughput (P)]],Table1[[#This Row],[Cost /Price (c)]],Table1[[#This Row],[Workload (W)]],Table1[[#This Row],[Latency (L)]],Table1[[#This Row],[Cold start (S)]],Table1[[#This Row],[Execution Time (T)]],Table1[[#This Row],[Resouce Allocation]]))</f>
        <v>1</v>
      </c>
    </row>
    <row r="6" spans="1:18" x14ac:dyDescent="0.3">
      <c r="A6" s="8">
        <v>2020</v>
      </c>
      <c r="B6" s="3" t="s">
        <v>71</v>
      </c>
      <c r="C6" s="3" t="s">
        <v>72</v>
      </c>
      <c r="D6" s="3" t="s">
        <v>73</v>
      </c>
      <c r="E6" s="3" t="s">
        <v>6</v>
      </c>
      <c r="F6" s="3" t="s">
        <v>7</v>
      </c>
      <c r="G6" s="14" t="s">
        <v>194</v>
      </c>
      <c r="H6" s="4">
        <v>0</v>
      </c>
      <c r="I6" s="4"/>
      <c r="J6" s="4" t="s">
        <v>195</v>
      </c>
      <c r="K6" s="4"/>
      <c r="L6" s="4"/>
      <c r="M6" s="4"/>
      <c r="N6" s="4"/>
      <c r="O6" s="4"/>
      <c r="P6" s="7" t="s">
        <v>176</v>
      </c>
      <c r="Q6" s="7" t="s">
        <v>263</v>
      </c>
      <c r="R6" s="6">
        <f>(COUNTA(Table1[[#This Row],[Throughput (P)]],Table1[[#This Row],[Cost /Price (c)]],Table1[[#This Row],[Workload (W)]],Table1[[#This Row],[Latency (L)]],Table1[[#This Row],[Cold start (S)]],Table1[[#This Row],[Execution Time (T)]],Table1[[#This Row],[Resouce Allocation]]))</f>
        <v>1</v>
      </c>
    </row>
    <row r="7" spans="1:18" x14ac:dyDescent="0.3">
      <c r="A7" s="8">
        <v>2020</v>
      </c>
      <c r="B7" s="3" t="s">
        <v>103</v>
      </c>
      <c r="C7" s="3" t="s">
        <v>104</v>
      </c>
      <c r="D7" s="3" t="s">
        <v>105</v>
      </c>
      <c r="E7" s="3" t="s">
        <v>101</v>
      </c>
      <c r="F7" s="3" t="s">
        <v>102</v>
      </c>
      <c r="G7" s="88" t="s">
        <v>535</v>
      </c>
      <c r="H7" s="4">
        <v>0</v>
      </c>
      <c r="I7" s="4" t="s">
        <v>190</v>
      </c>
      <c r="J7" s="4"/>
      <c r="K7" s="4"/>
      <c r="L7" s="4"/>
      <c r="M7" s="4"/>
      <c r="N7" s="4"/>
      <c r="O7" s="4"/>
      <c r="P7" s="7" t="s">
        <v>178</v>
      </c>
      <c r="Q7" s="7" t="s">
        <v>264</v>
      </c>
      <c r="R7" s="6">
        <f>(COUNTA(Table1[[#This Row],[Throughput (P)]],Table1[[#This Row],[Cost /Price (c)]],Table1[[#This Row],[Workload (W)]],Table1[[#This Row],[Latency (L)]],Table1[[#This Row],[Cold start (S)]],Table1[[#This Row],[Execution Time (T)]],Table1[[#This Row],[Resouce Allocation]]))</f>
        <v>1</v>
      </c>
    </row>
    <row r="8" spans="1:18" ht="13.2" customHeight="1" x14ac:dyDescent="0.3">
      <c r="A8" s="8">
        <v>2020</v>
      </c>
      <c r="B8" s="3" t="s">
        <v>77</v>
      </c>
      <c r="C8" s="3" t="s">
        <v>80</v>
      </c>
      <c r="D8" s="3" t="s">
        <v>81</v>
      </c>
      <c r="E8" s="3" t="s">
        <v>6</v>
      </c>
      <c r="F8" s="3" t="s">
        <v>7</v>
      </c>
      <c r="G8" s="87" t="s">
        <v>179</v>
      </c>
      <c r="H8" s="4">
        <v>0</v>
      </c>
      <c r="I8" s="4"/>
      <c r="J8" s="4"/>
      <c r="K8" s="4" t="s">
        <v>192</v>
      </c>
      <c r="L8" s="4"/>
      <c r="M8" s="4"/>
      <c r="N8" s="4"/>
      <c r="O8" s="4"/>
      <c r="P8" s="7" t="s">
        <v>265</v>
      </c>
      <c r="Q8" s="7" t="s">
        <v>266</v>
      </c>
      <c r="R8" s="6">
        <f>(COUNTA(Table1[[#This Row],[Throughput (P)]],Table1[[#This Row],[Cost /Price (c)]],Table1[[#This Row],[Workload (W)]],Table1[[#This Row],[Latency (L)]],Table1[[#This Row],[Cold start (S)]],Table1[[#This Row],[Execution Time (T)]],Table1[[#This Row],[Resouce Allocation]]))</f>
        <v>1</v>
      </c>
    </row>
    <row r="9" spans="1:18" hidden="1" x14ac:dyDescent="0.3">
      <c r="A9" s="8">
        <v>2020</v>
      </c>
      <c r="B9" s="3" t="s">
        <v>125</v>
      </c>
      <c r="C9" s="3" t="s">
        <v>124</v>
      </c>
      <c r="D9" s="3" t="s">
        <v>126</v>
      </c>
      <c r="E9" s="3" t="s">
        <v>6</v>
      </c>
      <c r="F9" s="3" t="s">
        <v>127</v>
      </c>
      <c r="G9" s="84" t="s">
        <v>287</v>
      </c>
      <c r="H9" s="4">
        <v>0</v>
      </c>
      <c r="I9" s="4" t="s">
        <v>190</v>
      </c>
      <c r="J9" s="4"/>
      <c r="K9" s="4"/>
      <c r="L9" s="4"/>
      <c r="M9" s="4"/>
      <c r="N9" s="4"/>
      <c r="O9" s="4"/>
      <c r="P9" s="7" t="s">
        <v>175</v>
      </c>
      <c r="Q9" s="7" t="s">
        <v>262</v>
      </c>
      <c r="R9" s="6">
        <f>(COUNTA(Table1[[#This Row],[Throughput (P)]],Table1[[#This Row],[Cost /Price (c)]],Table1[[#This Row],[Workload (W)]],Table1[[#This Row],[Latency (L)]],Table1[[#This Row],[Cold start (S)]],Table1[[#This Row],[Execution Time (T)]],Table1[[#This Row],[Resouce Allocation]]))</f>
        <v>1</v>
      </c>
    </row>
    <row r="10" spans="1:18" x14ac:dyDescent="0.3">
      <c r="A10" s="9">
        <v>2021</v>
      </c>
      <c r="B10" s="3" t="s">
        <v>113</v>
      </c>
      <c r="C10" s="3" t="s">
        <v>114</v>
      </c>
      <c r="D10" s="3" t="s">
        <v>115</v>
      </c>
      <c r="E10" s="3" t="s">
        <v>116</v>
      </c>
      <c r="F10" s="3" t="s">
        <v>102</v>
      </c>
      <c r="G10" s="84" t="s">
        <v>554</v>
      </c>
      <c r="H10" s="4">
        <v>0</v>
      </c>
      <c r="I10" s="4"/>
      <c r="J10" s="4"/>
      <c r="K10" s="4"/>
      <c r="L10" s="4"/>
      <c r="M10" s="4" t="s">
        <v>191</v>
      </c>
      <c r="N10" s="4"/>
      <c r="O10" s="4"/>
      <c r="P10" s="7" t="s">
        <v>268</v>
      </c>
      <c r="Q10" s="7" t="s">
        <v>267</v>
      </c>
      <c r="R10" s="6">
        <f>(COUNTA(Table1[[#This Row],[Throughput (P)]],Table1[[#This Row],[Cost /Price (c)]],Table1[[#This Row],[Workload (W)]],Table1[[#This Row],[Latency (L)]],Table1[[#This Row],[Cold start (S)]],Table1[[#This Row],[Execution Time (T)]],Table1[[#This Row],[Resouce Allocation]]))</f>
        <v>1</v>
      </c>
    </row>
    <row r="11" spans="1:18" x14ac:dyDescent="0.3">
      <c r="A11" s="9">
        <v>2021</v>
      </c>
      <c r="B11" s="3" t="s">
        <v>62</v>
      </c>
      <c r="C11" s="3" t="s">
        <v>63</v>
      </c>
      <c r="D11" s="3" t="s">
        <v>64</v>
      </c>
      <c r="E11" s="3" t="s">
        <v>6</v>
      </c>
      <c r="F11" s="3" t="s">
        <v>7</v>
      </c>
      <c r="G11" s="84" t="s">
        <v>536</v>
      </c>
      <c r="H11" s="4">
        <v>0</v>
      </c>
      <c r="I11" s="4"/>
      <c r="J11" s="4" t="s">
        <v>195</v>
      </c>
      <c r="K11" s="4" t="s">
        <v>192</v>
      </c>
      <c r="L11" s="4"/>
      <c r="M11" s="4"/>
      <c r="N11" s="4"/>
      <c r="O11" s="4"/>
      <c r="P11" s="7" t="s">
        <v>269</v>
      </c>
      <c r="Q11" s="7" t="s">
        <v>270</v>
      </c>
      <c r="R11" s="6">
        <f>(COUNTA(Table1[[#This Row],[Throughput (P)]],Table1[[#This Row],[Cost /Price (c)]],Table1[[#This Row],[Workload (W)]],Table1[[#This Row],[Latency (L)]],Table1[[#This Row],[Cold start (S)]],Table1[[#This Row],[Execution Time (T)]],Table1[[#This Row],[Resouce Allocation]]))</f>
        <v>2</v>
      </c>
    </row>
    <row r="12" spans="1:18" x14ac:dyDescent="0.3">
      <c r="A12" s="9">
        <v>2021</v>
      </c>
      <c r="B12" s="3" t="s">
        <v>129</v>
      </c>
      <c r="C12" s="3" t="s">
        <v>128</v>
      </c>
      <c r="D12" s="3" t="s">
        <v>130</v>
      </c>
      <c r="E12" s="3" t="s">
        <v>6</v>
      </c>
      <c r="F12" s="3" t="s">
        <v>127</v>
      </c>
      <c r="G12" s="86" t="s">
        <v>545</v>
      </c>
      <c r="H12" s="4">
        <v>0</v>
      </c>
      <c r="I12" s="4"/>
      <c r="J12" s="4"/>
      <c r="K12" s="4"/>
      <c r="L12" s="4"/>
      <c r="M12" s="4" t="s">
        <v>191</v>
      </c>
      <c r="N12" s="4"/>
      <c r="O12" s="4"/>
      <c r="P12" s="7" t="s">
        <v>181</v>
      </c>
      <c r="Q12" s="7" t="s">
        <v>271</v>
      </c>
      <c r="R12" s="6">
        <f>(COUNTA(Table1[[#This Row],[Throughput (P)]],Table1[[#This Row],[Cost /Price (c)]],Table1[[#This Row],[Workload (W)]],Table1[[#This Row],[Latency (L)]],Table1[[#This Row],[Cold start (S)]],Table1[[#This Row],[Execution Time (T)]],Table1[[#This Row],[Resouce Allocation]]))</f>
        <v>1</v>
      </c>
    </row>
    <row r="13" spans="1:18" x14ac:dyDescent="0.3">
      <c r="A13" s="9">
        <v>2021</v>
      </c>
      <c r="B13" s="3" t="s">
        <v>132</v>
      </c>
      <c r="C13" s="3" t="s">
        <v>131</v>
      </c>
      <c r="D13" s="3" t="s">
        <v>133</v>
      </c>
      <c r="E13" s="3" t="s">
        <v>6</v>
      </c>
      <c r="F13" s="3" t="s">
        <v>127</v>
      </c>
      <c r="G13" s="87" t="s">
        <v>182</v>
      </c>
      <c r="H13" s="4">
        <v>0</v>
      </c>
      <c r="I13" s="4"/>
      <c r="J13" s="4"/>
      <c r="K13" s="4" t="s">
        <v>192</v>
      </c>
      <c r="L13" s="4"/>
      <c r="M13" s="4"/>
      <c r="N13" s="4"/>
      <c r="O13" s="4"/>
      <c r="P13" s="7" t="s">
        <v>183</v>
      </c>
      <c r="Q13" s="7" t="s">
        <v>272</v>
      </c>
      <c r="R13" s="6">
        <f>(COUNTA(Table1[[#This Row],[Throughput (P)]],Table1[[#This Row],[Cost /Price (c)]],Table1[[#This Row],[Workload (W)]],Table1[[#This Row],[Latency (L)]],Table1[[#This Row],[Cold start (S)]],Table1[[#This Row],[Execution Time (T)]],Table1[[#This Row],[Resouce Allocation]]))</f>
        <v>1</v>
      </c>
    </row>
    <row r="14" spans="1:18" x14ac:dyDescent="0.3">
      <c r="A14" s="9">
        <v>2021</v>
      </c>
      <c r="B14" s="3" t="s">
        <v>74</v>
      </c>
      <c r="C14" s="3" t="s">
        <v>75</v>
      </c>
      <c r="D14" s="3" t="s">
        <v>76</v>
      </c>
      <c r="E14" s="3" t="s">
        <v>6</v>
      </c>
      <c r="F14" s="3" t="s">
        <v>7</v>
      </c>
      <c r="G14" s="86" t="s">
        <v>546</v>
      </c>
      <c r="H14" s="4">
        <v>0</v>
      </c>
      <c r="I14" s="4" t="s">
        <v>190</v>
      </c>
      <c r="J14" s="4"/>
      <c r="K14" s="4"/>
      <c r="L14" s="4" t="s">
        <v>193</v>
      </c>
      <c r="M14" s="4"/>
      <c r="N14" s="4"/>
      <c r="O14" s="4"/>
      <c r="P14" s="7" t="s">
        <v>185</v>
      </c>
      <c r="Q14" s="7" t="s">
        <v>273</v>
      </c>
      <c r="R14" s="6">
        <f>(COUNTA(Table1[[#This Row],[Throughput (P)]],Table1[[#This Row],[Cost /Price (c)]],Table1[[#This Row],[Workload (W)]],Table1[[#This Row],[Latency (L)]],Table1[[#This Row],[Cold start (S)]],Table1[[#This Row],[Execution Time (T)]],Table1[[#This Row],[Resouce Allocation]]))</f>
        <v>2</v>
      </c>
    </row>
    <row r="15" spans="1:18" x14ac:dyDescent="0.3">
      <c r="A15" s="9">
        <v>2021</v>
      </c>
      <c r="B15" s="3" t="s">
        <v>440</v>
      </c>
      <c r="C15" s="3" t="s">
        <v>441</v>
      </c>
      <c r="D15" s="3" t="s">
        <v>442</v>
      </c>
      <c r="E15" s="3" t="s">
        <v>6</v>
      </c>
      <c r="F15" s="3" t="s">
        <v>7</v>
      </c>
      <c r="G15" s="86" t="s">
        <v>184</v>
      </c>
      <c r="H15" s="4">
        <v>0</v>
      </c>
      <c r="I15" s="4" t="s">
        <v>190</v>
      </c>
      <c r="J15" s="4"/>
      <c r="K15" s="4"/>
      <c r="L15" s="4"/>
      <c r="M15" s="4"/>
      <c r="N15" s="4"/>
      <c r="O15" s="4"/>
      <c r="P15" s="7" t="s">
        <v>443</v>
      </c>
      <c r="Q15" s="7"/>
      <c r="R15" s="6">
        <f>(COUNTA(Table1[[#This Row],[Throughput (P)]],Table1[[#This Row],[Cost /Price (c)]],Table1[[#This Row],[Workload (W)]],Table1[[#This Row],[Latency (L)]],Table1[[#This Row],[Cold start (S)]],Table1[[#This Row],[Execution Time (T)]],Table1[[#This Row],[Resouce Allocation]]))</f>
        <v>1</v>
      </c>
    </row>
    <row r="16" spans="1:18" x14ac:dyDescent="0.3">
      <c r="A16" s="9">
        <v>2021</v>
      </c>
      <c r="B16" s="3" t="s">
        <v>106</v>
      </c>
      <c r="C16" s="3" t="s">
        <v>107</v>
      </c>
      <c r="D16" s="3" t="s">
        <v>108</v>
      </c>
      <c r="E16" s="3" t="s">
        <v>109</v>
      </c>
      <c r="F16" s="3" t="s">
        <v>102</v>
      </c>
      <c r="G16" s="86" t="s">
        <v>537</v>
      </c>
      <c r="H16" s="4">
        <v>0</v>
      </c>
      <c r="I16" s="4"/>
      <c r="J16" s="4"/>
      <c r="K16" s="4"/>
      <c r="L16" s="4"/>
      <c r="M16" s="4" t="s">
        <v>191</v>
      </c>
      <c r="N16" s="4"/>
      <c r="O16" s="4"/>
      <c r="P16" s="7" t="s">
        <v>187</v>
      </c>
      <c r="Q16" s="7" t="s">
        <v>274</v>
      </c>
      <c r="R16" s="6">
        <f>(COUNTA(Table1[[#This Row],[Throughput (P)]],Table1[[#This Row],[Cost /Price (c)]],Table1[[#This Row],[Workload (W)]],Table1[[#This Row],[Latency (L)]],Table1[[#This Row],[Cold start (S)]],Table1[[#This Row],[Execution Time (T)]],Table1[[#This Row],[Resouce Allocation]]))</f>
        <v>1</v>
      </c>
    </row>
    <row r="17" spans="1:18" x14ac:dyDescent="0.3">
      <c r="A17" s="9">
        <v>2021</v>
      </c>
      <c r="B17" s="3" t="s">
        <v>110</v>
      </c>
      <c r="C17" s="3" t="s">
        <v>111</v>
      </c>
      <c r="D17" s="3" t="s">
        <v>112</v>
      </c>
      <c r="E17" s="3" t="s">
        <v>101</v>
      </c>
      <c r="F17" s="3" t="s">
        <v>102</v>
      </c>
      <c r="G17" s="86" t="s">
        <v>184</v>
      </c>
      <c r="H17" s="4">
        <v>0</v>
      </c>
      <c r="I17" s="4"/>
      <c r="J17" s="4"/>
      <c r="K17" s="4" t="s">
        <v>192</v>
      </c>
      <c r="L17" s="4" t="s">
        <v>193</v>
      </c>
      <c r="M17" s="4"/>
      <c r="N17" s="4"/>
      <c r="O17" s="4"/>
      <c r="P17" s="7" t="s">
        <v>188</v>
      </c>
      <c r="Q17" s="7" t="s">
        <v>275</v>
      </c>
      <c r="R17" s="6">
        <f>(COUNTA(Table1[[#This Row],[Throughput (P)]],Table1[[#This Row],[Cost /Price (c)]],Table1[[#This Row],[Workload (W)]],Table1[[#This Row],[Latency (L)]],Table1[[#This Row],[Cold start (S)]],Table1[[#This Row],[Execution Time (T)]],Table1[[#This Row],[Resouce Allocation]]))</f>
        <v>2</v>
      </c>
    </row>
    <row r="18" spans="1:18" x14ac:dyDescent="0.3">
      <c r="A18" s="10">
        <v>2022</v>
      </c>
      <c r="B18" s="3" t="s">
        <v>117</v>
      </c>
      <c r="C18" s="3" t="s">
        <v>118</v>
      </c>
      <c r="D18" s="3" t="s">
        <v>119</v>
      </c>
      <c r="E18" s="3" t="s">
        <v>120</v>
      </c>
      <c r="F18" s="3" t="s">
        <v>102</v>
      </c>
      <c r="G18" s="86" t="s">
        <v>201</v>
      </c>
      <c r="H18" s="4">
        <v>0</v>
      </c>
      <c r="I18" s="4"/>
      <c r="J18" s="4"/>
      <c r="K18" s="4" t="s">
        <v>192</v>
      </c>
      <c r="L18" s="4"/>
      <c r="M18" s="4" t="s">
        <v>191</v>
      </c>
      <c r="N18" s="4"/>
      <c r="O18" s="4"/>
      <c r="P18" s="7" t="s">
        <v>189</v>
      </c>
      <c r="Q18" s="7" t="s">
        <v>276</v>
      </c>
      <c r="R18" s="6">
        <f>(COUNTA(Table1[[#This Row],[Throughput (P)]],Table1[[#This Row],[Cost /Price (c)]],Table1[[#This Row],[Workload (W)]],Table1[[#This Row],[Latency (L)]],Table1[[#This Row],[Cold start (S)]],Table1[[#This Row],[Execution Time (T)]],Table1[[#This Row],[Resouce Allocation]]))</f>
        <v>2</v>
      </c>
    </row>
    <row r="19" spans="1:18" x14ac:dyDescent="0.3">
      <c r="A19" s="10">
        <v>2022</v>
      </c>
      <c r="B19" s="3" t="s">
        <v>135</v>
      </c>
      <c r="C19" s="3" t="s">
        <v>134</v>
      </c>
      <c r="D19" s="3" t="s">
        <v>136</v>
      </c>
      <c r="E19" s="3" t="s">
        <v>6</v>
      </c>
      <c r="F19" s="3" t="s">
        <v>127</v>
      </c>
      <c r="G19" s="84" t="s">
        <v>543</v>
      </c>
      <c r="H19" s="4">
        <v>0</v>
      </c>
      <c r="I19" s="4"/>
      <c r="J19" s="4"/>
      <c r="K19" s="4"/>
      <c r="L19" s="4"/>
      <c r="M19" s="4" t="s">
        <v>191</v>
      </c>
      <c r="N19" s="4"/>
      <c r="O19" s="4"/>
      <c r="P19" s="7" t="s">
        <v>279</v>
      </c>
      <c r="Q19" s="7" t="s">
        <v>280</v>
      </c>
      <c r="R19" s="6">
        <f>(COUNTA(Table1[[#This Row],[Throughput (P)]],Table1[[#This Row],[Cost /Price (c)]],Table1[[#This Row],[Workload (W)]],Table1[[#This Row],[Latency (L)]],Table1[[#This Row],[Cold start (S)]],Table1[[#This Row],[Execution Time (T)]],Table1[[#This Row],[Resouce Allocation]]))</f>
        <v>1</v>
      </c>
    </row>
    <row r="20" spans="1:18" x14ac:dyDescent="0.3">
      <c r="A20" s="10">
        <v>2022</v>
      </c>
      <c r="B20" s="3" t="s">
        <v>89</v>
      </c>
      <c r="C20" s="3" t="s">
        <v>90</v>
      </c>
      <c r="D20" s="3" t="s">
        <v>91</v>
      </c>
      <c r="E20" s="3" t="s">
        <v>88</v>
      </c>
      <c r="F20" s="3" t="s">
        <v>86</v>
      </c>
      <c r="G20" s="88" t="s">
        <v>296</v>
      </c>
      <c r="H20" s="4">
        <v>0</v>
      </c>
      <c r="I20" s="4"/>
      <c r="J20" s="4"/>
      <c r="K20" s="4"/>
      <c r="L20" s="4"/>
      <c r="M20" s="4" t="s">
        <v>191</v>
      </c>
      <c r="N20" s="4"/>
      <c r="O20" s="4"/>
      <c r="P20" s="7" t="s">
        <v>295</v>
      </c>
      <c r="Q20" s="7" t="s">
        <v>297</v>
      </c>
      <c r="R20" s="6">
        <f>(COUNTA(Table1[[#This Row],[Throughput (P)]],Table1[[#This Row],[Cost /Price (c)]],Table1[[#This Row],[Workload (W)]],Table1[[#This Row],[Latency (L)]],Table1[[#This Row],[Cold start (S)]],Table1[[#This Row],[Execution Time (T)]],Table1[[#This Row],[Resouce Allocation]]))</f>
        <v>1</v>
      </c>
    </row>
    <row r="21" spans="1:18" x14ac:dyDescent="0.3">
      <c r="A21" s="10">
        <v>2022</v>
      </c>
      <c r="B21" s="3" t="s">
        <v>231</v>
      </c>
      <c r="C21" s="3" t="s">
        <v>232</v>
      </c>
      <c r="D21" s="3" t="s">
        <v>233</v>
      </c>
      <c r="E21" s="3" t="s">
        <v>6</v>
      </c>
      <c r="F21" s="3" t="s">
        <v>7</v>
      </c>
      <c r="G21" s="86" t="s">
        <v>290</v>
      </c>
      <c r="H21" s="4">
        <v>0</v>
      </c>
      <c r="I21" s="4"/>
      <c r="J21" s="4"/>
      <c r="K21" s="4" t="s">
        <v>192</v>
      </c>
      <c r="L21" s="4"/>
      <c r="M21" s="4"/>
      <c r="N21" s="4"/>
      <c r="O21" s="4"/>
      <c r="P21" s="7" t="s">
        <v>277</v>
      </c>
      <c r="Q21" s="7" t="s">
        <v>278</v>
      </c>
      <c r="R21" s="6">
        <f>(COUNTA(Table1[[#This Row],[Throughput (P)]],Table1[[#This Row],[Cost /Price (c)]],Table1[[#This Row],[Workload (W)]],Table1[[#This Row],[Latency (L)]],Table1[[#This Row],[Cold start (S)]],Table1[[#This Row],[Execution Time (T)]],Table1[[#This Row],[Resouce Allocation]]))</f>
        <v>1</v>
      </c>
    </row>
    <row r="22" spans="1:18" x14ac:dyDescent="0.3">
      <c r="A22" s="10">
        <v>2022</v>
      </c>
      <c r="B22" s="3" t="s">
        <v>65</v>
      </c>
      <c r="C22" s="3" t="s">
        <v>66</v>
      </c>
      <c r="D22" s="3" t="s">
        <v>67</v>
      </c>
      <c r="E22" s="3" t="s">
        <v>6</v>
      </c>
      <c r="F22" s="3" t="s">
        <v>7</v>
      </c>
      <c r="G22" s="86" t="s">
        <v>302</v>
      </c>
      <c r="H22" s="4">
        <v>0</v>
      </c>
      <c r="I22" s="4" t="s">
        <v>190</v>
      </c>
      <c r="J22" s="4"/>
      <c r="K22" s="4" t="s">
        <v>192</v>
      </c>
      <c r="L22" s="4"/>
      <c r="M22" s="4"/>
      <c r="N22" s="4" t="s">
        <v>301</v>
      </c>
      <c r="O22" s="4"/>
      <c r="P22" s="7" t="s">
        <v>298</v>
      </c>
      <c r="Q22" s="7" t="s">
        <v>299</v>
      </c>
      <c r="R22" s="6">
        <f>(COUNTA(Table1[[#This Row],[Throughput (P)]],Table1[[#This Row],[Cost /Price (c)]],Table1[[#This Row],[Workload (W)]],Table1[[#This Row],[Latency (L)]],Table1[[#This Row],[Cold start (S)]],Table1[[#This Row],[Execution Time (T)]],Table1[[#This Row],[Resouce Allocation]]))</f>
        <v>3</v>
      </c>
    </row>
    <row r="23" spans="1:18" x14ac:dyDescent="0.3">
      <c r="A23" s="10">
        <v>2022</v>
      </c>
      <c r="B23" s="3" t="s">
        <v>164</v>
      </c>
      <c r="C23" s="3" t="s">
        <v>165</v>
      </c>
      <c r="D23" s="3" t="s">
        <v>166</v>
      </c>
      <c r="E23" s="3" t="s">
        <v>6</v>
      </c>
      <c r="F23" s="3" t="s">
        <v>163</v>
      </c>
      <c r="G23" s="84" t="s">
        <v>307</v>
      </c>
      <c r="H23" s="4">
        <v>0</v>
      </c>
      <c r="I23" s="4"/>
      <c r="J23" s="4"/>
      <c r="K23" s="15"/>
      <c r="L23" s="4"/>
      <c r="M23" s="4" t="s">
        <v>191</v>
      </c>
      <c r="N23" s="4"/>
      <c r="O23" s="4"/>
      <c r="P23" s="7" t="s">
        <v>306</v>
      </c>
      <c r="Q23" s="7" t="s">
        <v>308</v>
      </c>
      <c r="R23" s="6">
        <f>(COUNTA(Table1[[#This Row],[Throughput (P)]],Table1[[#This Row],[Cost /Price (c)]],Table1[[#This Row],[Workload (W)]],Table1[[#This Row],[Latency (L)]],Table1[[#This Row],[Cold start (S)]],Table1[[#This Row],[Execution Time (T)]],Table1[[#This Row],[Resouce Allocation]]))</f>
        <v>1</v>
      </c>
    </row>
    <row r="24" spans="1:18" x14ac:dyDescent="0.3">
      <c r="A24" s="10">
        <v>2022</v>
      </c>
      <c r="B24" s="3" t="s">
        <v>234</v>
      </c>
      <c r="C24" s="3" t="s">
        <v>235</v>
      </c>
      <c r="D24" s="3" t="s">
        <v>236</v>
      </c>
      <c r="E24" s="3" t="s">
        <v>87</v>
      </c>
      <c r="F24" s="3" t="s">
        <v>86</v>
      </c>
      <c r="G24" s="86" t="s">
        <v>294</v>
      </c>
      <c r="H24" s="4">
        <v>0</v>
      </c>
      <c r="I24" s="4"/>
      <c r="J24" s="4"/>
      <c r="K24" s="4" t="s">
        <v>192</v>
      </c>
      <c r="L24" s="4"/>
      <c r="M24" s="4"/>
      <c r="N24" s="4" t="s">
        <v>301</v>
      </c>
      <c r="O24" s="4"/>
      <c r="P24" s="7" t="s">
        <v>292</v>
      </c>
      <c r="Q24" s="7" t="s">
        <v>293</v>
      </c>
      <c r="R24" s="6">
        <f>(COUNTA(Table1[[#This Row],[Throughput (P)]],Table1[[#This Row],[Cost /Price (c)]],Table1[[#This Row],[Workload (W)]],Table1[[#This Row],[Latency (L)]],Table1[[#This Row],[Cold start (S)]],Table1[[#This Row],[Execution Time (T)]],Table1[[#This Row],[Resouce Allocation]]))</f>
        <v>2</v>
      </c>
    </row>
    <row r="25" spans="1:18" x14ac:dyDescent="0.3">
      <c r="A25" s="10">
        <v>2022</v>
      </c>
      <c r="B25" s="3" t="s">
        <v>237</v>
      </c>
      <c r="C25" s="3" t="s">
        <v>238</v>
      </c>
      <c r="D25" s="3" t="s">
        <v>239</v>
      </c>
      <c r="E25" s="3" t="s">
        <v>88</v>
      </c>
      <c r="F25" s="3" t="s">
        <v>86</v>
      </c>
      <c r="G25" s="86" t="s">
        <v>303</v>
      </c>
      <c r="H25" s="4">
        <v>0</v>
      </c>
      <c r="I25" s="4"/>
      <c r="J25" s="4"/>
      <c r="K25" s="4" t="s">
        <v>192</v>
      </c>
      <c r="L25" s="4"/>
      <c r="M25" s="4"/>
      <c r="N25" s="4"/>
      <c r="O25" s="4"/>
      <c r="P25" s="7" t="s">
        <v>304</v>
      </c>
      <c r="Q25" s="7" t="s">
        <v>305</v>
      </c>
      <c r="R25" s="6">
        <f>(COUNTA(Table1[[#This Row],[Throughput (P)]],Table1[[#This Row],[Cost /Price (c)]],Table1[[#This Row],[Workload (W)]],Table1[[#This Row],[Latency (L)]],Table1[[#This Row],[Cold start (S)]],Table1[[#This Row],[Execution Time (T)]],Table1[[#This Row],[Resouce Allocation]]))</f>
        <v>1</v>
      </c>
    </row>
    <row r="26" spans="1:18" ht="13.8" customHeight="1" x14ac:dyDescent="0.3">
      <c r="A26" s="10">
        <v>2022</v>
      </c>
      <c r="B26" s="3" t="s">
        <v>56</v>
      </c>
      <c r="C26" s="3" t="s">
        <v>57</v>
      </c>
      <c r="D26" s="3" t="s">
        <v>58</v>
      </c>
      <c r="E26" s="3" t="s">
        <v>6</v>
      </c>
      <c r="F26" s="3" t="s">
        <v>7</v>
      </c>
      <c r="G26" s="86" t="s">
        <v>547</v>
      </c>
      <c r="H26" s="4">
        <v>0</v>
      </c>
      <c r="I26" s="4"/>
      <c r="J26" s="4"/>
      <c r="K26" s="4"/>
      <c r="L26" s="4"/>
      <c r="M26" s="4" t="s">
        <v>191</v>
      </c>
      <c r="N26" s="4"/>
      <c r="O26" s="4"/>
      <c r="P26" s="7" t="s">
        <v>309</v>
      </c>
      <c r="Q26" s="7" t="s">
        <v>310</v>
      </c>
      <c r="R26" s="6">
        <f>(COUNTA(Table1[[#This Row],[Throughput (P)]],Table1[[#This Row],[Cost /Price (c)]],Table1[[#This Row],[Workload (W)]],Table1[[#This Row],[Latency (L)]],Table1[[#This Row],[Cold start (S)]],Table1[[#This Row],[Execution Time (T)]],Table1[[#This Row],[Resouce Allocation]]))</f>
        <v>1</v>
      </c>
    </row>
    <row r="27" spans="1:18" x14ac:dyDescent="0.3">
      <c r="A27" s="10">
        <v>2022</v>
      </c>
      <c r="B27" s="3" t="s">
        <v>53</v>
      </c>
      <c r="C27" s="3" t="s">
        <v>54</v>
      </c>
      <c r="D27" s="3" t="s">
        <v>55</v>
      </c>
      <c r="E27" s="3" t="s">
        <v>6</v>
      </c>
      <c r="F27" s="3" t="s">
        <v>7</v>
      </c>
      <c r="G27" s="87" t="s">
        <v>283</v>
      </c>
      <c r="H27" s="4">
        <v>0</v>
      </c>
      <c r="I27" s="4"/>
      <c r="J27" s="4"/>
      <c r="K27" s="15"/>
      <c r="L27" s="4" t="s">
        <v>193</v>
      </c>
      <c r="M27" s="4"/>
      <c r="N27" s="4"/>
      <c r="O27" s="4"/>
      <c r="P27" s="7" t="s">
        <v>312</v>
      </c>
      <c r="Q27" s="7"/>
      <c r="R27" s="6">
        <f>(COUNTA(Table1[[#This Row],[Throughput (P)]],Table1[[#This Row],[Cost /Price (c)]],Table1[[#This Row],[Workload (W)]],Table1[[#This Row],[Latency (L)]],Table1[[#This Row],[Cold start (S)]],Table1[[#This Row],[Execution Time (T)]],Table1[[#This Row],[Resouce Allocation]]))</f>
        <v>1</v>
      </c>
    </row>
    <row r="28" spans="1:18" x14ac:dyDescent="0.3">
      <c r="A28" s="10">
        <v>2022</v>
      </c>
      <c r="B28" s="3" t="s">
        <v>59</v>
      </c>
      <c r="C28" s="3" t="s">
        <v>60</v>
      </c>
      <c r="D28" s="3" t="s">
        <v>61</v>
      </c>
      <c r="E28" s="3" t="s">
        <v>6</v>
      </c>
      <c r="F28" s="3" t="s">
        <v>7</v>
      </c>
      <c r="G28" s="88" t="s">
        <v>313</v>
      </c>
      <c r="H28" s="4">
        <v>0</v>
      </c>
      <c r="I28" s="4"/>
      <c r="J28" s="4"/>
      <c r="K28" s="4"/>
      <c r="L28" s="4"/>
      <c r="M28" s="4" t="s">
        <v>191</v>
      </c>
      <c r="N28" s="4"/>
      <c r="O28" s="4"/>
      <c r="P28" s="7" t="s">
        <v>314</v>
      </c>
      <c r="Q28" s="7" t="s">
        <v>315</v>
      </c>
      <c r="R28" s="6">
        <f>(COUNTA(Table1[[#This Row],[Throughput (P)]],Table1[[#This Row],[Cost /Price (c)]],Table1[[#This Row],[Workload (W)]],Table1[[#This Row],[Latency (L)]],Table1[[#This Row],[Cold start (S)]],Table1[[#This Row],[Execution Time (T)]],Table1[[#This Row],[Resouce Allocation]]))</f>
        <v>1</v>
      </c>
    </row>
    <row r="29" spans="1:18" x14ac:dyDescent="0.3">
      <c r="A29" s="10">
        <v>2022</v>
      </c>
      <c r="B29" s="3" t="s">
        <v>167</v>
      </c>
      <c r="C29" s="3" t="s">
        <v>168</v>
      </c>
      <c r="D29" s="3" t="s">
        <v>169</v>
      </c>
      <c r="E29" s="3" t="s">
        <v>6</v>
      </c>
      <c r="F29" s="3" t="s">
        <v>163</v>
      </c>
      <c r="G29" s="86" t="s">
        <v>317</v>
      </c>
      <c r="H29" s="4">
        <v>0</v>
      </c>
      <c r="I29" s="4"/>
      <c r="J29" s="4"/>
      <c r="K29" s="4" t="s">
        <v>192</v>
      </c>
      <c r="L29" s="4" t="s">
        <v>193</v>
      </c>
      <c r="M29" s="4" t="s">
        <v>191</v>
      </c>
      <c r="N29" s="4"/>
      <c r="O29" s="4" t="s">
        <v>540</v>
      </c>
      <c r="P29" s="7" t="s">
        <v>318</v>
      </c>
      <c r="Q29" s="7" t="s">
        <v>316</v>
      </c>
      <c r="R29" s="6">
        <f>(COUNTA(Table1[[#This Row],[Throughput (P)]],Table1[[#This Row],[Cost /Price (c)]],Table1[[#This Row],[Workload (W)]],Table1[[#This Row],[Latency (L)]],Table1[[#This Row],[Cold start (S)]],Table1[[#This Row],[Execution Time (T)]],Table1[[#This Row],[Resouce Allocation]]))</f>
        <v>4</v>
      </c>
    </row>
    <row r="30" spans="1:18" x14ac:dyDescent="0.3">
      <c r="A30" s="11">
        <v>2023</v>
      </c>
      <c r="B30" s="3" t="s">
        <v>44</v>
      </c>
      <c r="C30" s="3" t="s">
        <v>45</v>
      </c>
      <c r="D30" s="3" t="s">
        <v>46</v>
      </c>
      <c r="E30" s="3" t="s">
        <v>6</v>
      </c>
      <c r="F30" s="3" t="s">
        <v>7</v>
      </c>
      <c r="G30" s="87" t="s">
        <v>319</v>
      </c>
      <c r="H30" s="4">
        <v>0</v>
      </c>
      <c r="I30" s="4"/>
      <c r="J30" s="4"/>
      <c r="K30" s="4" t="s">
        <v>192</v>
      </c>
      <c r="L30" s="4"/>
      <c r="M30" s="4"/>
      <c r="N30" s="4"/>
      <c r="O30" s="4"/>
      <c r="P30" s="7" t="s">
        <v>321</v>
      </c>
      <c r="Q30" s="7" t="s">
        <v>320</v>
      </c>
      <c r="R30" s="6">
        <f>(COUNTA(Table1[[#This Row],[Throughput (P)]],Table1[[#This Row],[Cost /Price (c)]],Table1[[#This Row],[Workload (W)]],Table1[[#This Row],[Latency (L)]],Table1[[#This Row],[Cold start (S)]],Table1[[#This Row],[Execution Time (T)]],Table1[[#This Row],[Resouce Allocation]]))</f>
        <v>1</v>
      </c>
    </row>
    <row r="31" spans="1:18" x14ac:dyDescent="0.3">
      <c r="A31" s="11">
        <v>2023</v>
      </c>
      <c r="B31" s="3" t="s">
        <v>141</v>
      </c>
      <c r="C31" s="3" t="s">
        <v>140</v>
      </c>
      <c r="D31" s="3" t="s">
        <v>327</v>
      </c>
      <c r="E31" s="3" t="s">
        <v>6</v>
      </c>
      <c r="F31" s="3" t="s">
        <v>127</v>
      </c>
      <c r="G31" s="3" t="s">
        <v>326</v>
      </c>
      <c r="H31" s="4">
        <v>0</v>
      </c>
      <c r="I31" s="4" t="s">
        <v>190</v>
      </c>
      <c r="J31" s="4"/>
      <c r="K31" s="4"/>
      <c r="L31" s="4"/>
      <c r="M31" s="4" t="s">
        <v>191</v>
      </c>
      <c r="N31" s="4"/>
      <c r="O31" s="4"/>
      <c r="P31" s="7" t="s">
        <v>325</v>
      </c>
      <c r="Q31" s="7" t="s">
        <v>328</v>
      </c>
      <c r="R31" s="6">
        <f>(COUNTA(Table1[[#This Row],[Throughput (P)]],Table1[[#This Row],[Cost /Price (c)]],Table1[[#This Row],[Workload (W)]],Table1[[#This Row],[Latency (L)]],Table1[[#This Row],[Cold start (S)]],Table1[[#This Row],[Execution Time (T)]],Table1[[#This Row],[Resouce Allocation]]))</f>
        <v>2</v>
      </c>
    </row>
    <row r="32" spans="1:18" x14ac:dyDescent="0.3">
      <c r="A32" s="11">
        <v>2023</v>
      </c>
      <c r="B32" s="3" t="s">
        <v>121</v>
      </c>
      <c r="C32" s="3" t="s">
        <v>122</v>
      </c>
      <c r="D32" s="3" t="s">
        <v>123</v>
      </c>
      <c r="E32" s="3" t="s">
        <v>101</v>
      </c>
      <c r="F32" s="3" t="s">
        <v>102</v>
      </c>
      <c r="G32" s="74" t="s">
        <v>549</v>
      </c>
      <c r="H32" s="4">
        <v>0</v>
      </c>
      <c r="I32" s="4"/>
      <c r="J32" s="4"/>
      <c r="K32" s="4"/>
      <c r="L32" s="4"/>
      <c r="M32" s="4" t="s">
        <v>191</v>
      </c>
      <c r="N32" s="4"/>
      <c r="O32" s="4"/>
      <c r="P32" s="7" t="s">
        <v>329</v>
      </c>
      <c r="Q32" s="7" t="s">
        <v>330</v>
      </c>
      <c r="R32" s="6">
        <f>(COUNTA(Table1[[#This Row],[Throughput (P)]],Table1[[#This Row],[Cost /Price (c)]],Table1[[#This Row],[Workload (W)]],Table1[[#This Row],[Latency (L)]],Table1[[#This Row],[Cold start (S)]],Table1[[#This Row],[Execution Time (T)]],Table1[[#This Row],[Resouce Allocation]]))</f>
        <v>1</v>
      </c>
    </row>
    <row r="33" spans="1:18" x14ac:dyDescent="0.3">
      <c r="A33" s="11">
        <v>2023</v>
      </c>
      <c r="B33" s="3" t="s">
        <v>240</v>
      </c>
      <c r="C33" s="3" t="s">
        <v>241</v>
      </c>
      <c r="D33" s="3" t="s">
        <v>242</v>
      </c>
      <c r="E33" s="3" t="s">
        <v>85</v>
      </c>
      <c r="F33" s="3" t="s">
        <v>86</v>
      </c>
      <c r="G33" s="86" t="s">
        <v>322</v>
      </c>
      <c r="H33" s="4">
        <v>0</v>
      </c>
      <c r="I33" s="4"/>
      <c r="J33" s="4" t="s">
        <v>195</v>
      </c>
      <c r="K33" s="4" t="s">
        <v>192</v>
      </c>
      <c r="L33" s="4"/>
      <c r="M33" s="4"/>
      <c r="N33" s="4"/>
      <c r="O33" s="4"/>
      <c r="P33" s="7" t="s">
        <v>323</v>
      </c>
      <c r="Q33" s="7" t="s">
        <v>324</v>
      </c>
      <c r="R33" s="6">
        <f>(COUNTA(Table1[[#This Row],[Throughput (P)]],Table1[[#This Row],[Cost /Price (c)]],Table1[[#This Row],[Workload (W)]],Table1[[#This Row],[Latency (L)]],Table1[[#This Row],[Cold start (S)]],Table1[[#This Row],[Execution Time (T)]],Table1[[#This Row],[Resouce Allocation]]))</f>
        <v>2</v>
      </c>
    </row>
    <row r="34" spans="1:18" x14ac:dyDescent="0.3">
      <c r="A34" s="11">
        <v>2023</v>
      </c>
      <c r="B34" s="3" t="s">
        <v>444</v>
      </c>
      <c r="C34" s="3" t="s">
        <v>445</v>
      </c>
      <c r="D34" s="3" t="s">
        <v>446</v>
      </c>
      <c r="E34" s="3" t="s">
        <v>6</v>
      </c>
      <c r="F34" s="3" t="s">
        <v>7</v>
      </c>
      <c r="G34" s="86" t="s">
        <v>479</v>
      </c>
      <c r="H34" s="4">
        <v>0</v>
      </c>
      <c r="I34" s="4" t="s">
        <v>190</v>
      </c>
      <c r="J34" s="4"/>
      <c r="K34" s="4" t="s">
        <v>192</v>
      </c>
      <c r="L34" s="4"/>
      <c r="M34" s="4"/>
      <c r="N34" s="4"/>
      <c r="O34" s="4" t="s">
        <v>540</v>
      </c>
      <c r="P34" s="7" t="s">
        <v>476</v>
      </c>
      <c r="Q34" s="7" t="s">
        <v>477</v>
      </c>
      <c r="R34" s="6">
        <f>(COUNTA(Table1[[#This Row],[Throughput (P)]],Table1[[#This Row],[Cost /Price (c)]],Table1[[#This Row],[Workload (W)]],Table1[[#This Row],[Latency (L)]],Table1[[#This Row],[Cold start (S)]],Table1[[#This Row],[Execution Time (T)]],Table1[[#This Row],[Resouce Allocation]]))</f>
        <v>3</v>
      </c>
    </row>
    <row r="35" spans="1:18" x14ac:dyDescent="0.3">
      <c r="A35" s="11">
        <v>2023</v>
      </c>
      <c r="B35" s="3" t="s">
        <v>447</v>
      </c>
      <c r="C35" s="3" t="s">
        <v>448</v>
      </c>
      <c r="D35" s="3" t="s">
        <v>449</v>
      </c>
      <c r="E35" s="3" t="s">
        <v>85</v>
      </c>
      <c r="F35" s="3" t="s">
        <v>86</v>
      </c>
      <c r="G35" s="86" t="s">
        <v>322</v>
      </c>
      <c r="H35" s="4">
        <v>0</v>
      </c>
      <c r="I35" s="4" t="s">
        <v>190</v>
      </c>
      <c r="J35" s="4"/>
      <c r="K35" s="4"/>
      <c r="L35" s="4" t="s">
        <v>193</v>
      </c>
      <c r="M35" s="4"/>
      <c r="N35" s="4"/>
      <c r="O35" s="4"/>
      <c r="P35" s="3" t="s">
        <v>478</v>
      </c>
      <c r="Q35" s="7" t="s">
        <v>480</v>
      </c>
      <c r="R35" s="6">
        <f>(COUNTA(Table1[[#This Row],[Throughput (P)]],Table1[[#This Row],[Cost /Price (c)]],Table1[[#This Row],[Workload (W)]],Table1[[#This Row],[Latency (L)]],Table1[[#This Row],[Cold start (S)]],Table1[[#This Row],[Execution Time (T)]],Table1[[#This Row],[Resouce Allocation]]))</f>
        <v>2</v>
      </c>
    </row>
    <row r="36" spans="1:18" x14ac:dyDescent="0.3">
      <c r="A36" s="11">
        <v>2023</v>
      </c>
      <c r="B36" s="3" t="s">
        <v>243</v>
      </c>
      <c r="C36" s="3" t="s">
        <v>244</v>
      </c>
      <c r="D36" s="3" t="s">
        <v>245</v>
      </c>
      <c r="E36" s="3" t="s">
        <v>6</v>
      </c>
      <c r="F36" s="3" t="s">
        <v>127</v>
      </c>
      <c r="G36" s="86" t="s">
        <v>322</v>
      </c>
      <c r="H36" s="4">
        <v>0</v>
      </c>
      <c r="I36" s="4"/>
      <c r="J36" s="4"/>
      <c r="K36" s="4" t="s">
        <v>192</v>
      </c>
      <c r="L36" s="4"/>
      <c r="M36" s="4"/>
      <c r="N36" s="4"/>
      <c r="O36" s="4"/>
      <c r="P36" s="7" t="s">
        <v>333</v>
      </c>
      <c r="Q36" s="7" t="s">
        <v>340</v>
      </c>
      <c r="R36" s="6">
        <f>(COUNTA(Table1[[#This Row],[Throughput (P)]],Table1[[#This Row],[Cost /Price (c)]],Table1[[#This Row],[Workload (W)]],Table1[[#This Row],[Latency (L)]],Table1[[#This Row],[Cold start (S)]],Table1[[#This Row],[Execution Time (T)]],Table1[[#This Row],[Resouce Allocation]]))</f>
        <v>1</v>
      </c>
    </row>
    <row r="37" spans="1:18" x14ac:dyDescent="0.3">
      <c r="A37" s="11">
        <v>2023</v>
      </c>
      <c r="B37" s="3" t="s">
        <v>138</v>
      </c>
      <c r="C37" s="3" t="s">
        <v>137</v>
      </c>
      <c r="D37" s="3" t="s">
        <v>139</v>
      </c>
      <c r="E37" s="3" t="s">
        <v>6</v>
      </c>
      <c r="F37" s="3" t="s">
        <v>127</v>
      </c>
      <c r="G37" s="85" t="s">
        <v>200</v>
      </c>
      <c r="H37" s="4">
        <v>0</v>
      </c>
      <c r="I37" s="4"/>
      <c r="J37" s="4" t="s">
        <v>195</v>
      </c>
      <c r="K37" s="4" t="s">
        <v>192</v>
      </c>
      <c r="L37" s="4"/>
      <c r="M37" s="4"/>
      <c r="N37" s="4" t="s">
        <v>301</v>
      </c>
      <c r="O37" s="4"/>
      <c r="P37" s="7" t="s">
        <v>331</v>
      </c>
      <c r="Q37" s="7" t="s">
        <v>332</v>
      </c>
      <c r="R37" s="6">
        <f>(COUNTA(Table1[[#This Row],[Throughput (P)]],Table1[[#This Row],[Cost /Price (c)]],Table1[[#This Row],[Workload (W)]],Table1[[#This Row],[Latency (L)]],Table1[[#This Row],[Cold start (S)]],Table1[[#This Row],[Execution Time (T)]],Table1[[#This Row],[Resouce Allocation]]))</f>
        <v>3</v>
      </c>
    </row>
    <row r="38" spans="1:18" x14ac:dyDescent="0.3">
      <c r="A38" s="11">
        <v>2023</v>
      </c>
      <c r="B38" s="3" t="s">
        <v>450</v>
      </c>
      <c r="C38" s="3" t="s">
        <v>451</v>
      </c>
      <c r="D38" s="3" t="s">
        <v>452</v>
      </c>
      <c r="E38" s="3" t="s">
        <v>6</v>
      </c>
      <c r="F38" s="3" t="s">
        <v>7</v>
      </c>
      <c r="G38" s="3" t="s">
        <v>550</v>
      </c>
      <c r="H38" s="4">
        <v>0</v>
      </c>
      <c r="I38" s="4" t="s">
        <v>190</v>
      </c>
      <c r="J38" s="4"/>
      <c r="K38" s="4"/>
      <c r="L38" s="4"/>
      <c r="M38" s="4"/>
      <c r="N38" s="4"/>
      <c r="O38" s="4"/>
      <c r="P38" s="7" t="s">
        <v>481</v>
      </c>
      <c r="Q38" s="7"/>
      <c r="R38" s="6">
        <f>(COUNTA(Table1[[#This Row],[Throughput (P)]],Table1[[#This Row],[Cost /Price (c)]],Table1[[#This Row],[Workload (W)]],Table1[[#This Row],[Latency (L)]],Table1[[#This Row],[Cold start (S)]],Table1[[#This Row],[Execution Time (T)]],Table1[[#This Row],[Resouce Allocation]]))</f>
        <v>1</v>
      </c>
    </row>
    <row r="39" spans="1:18" x14ac:dyDescent="0.3">
      <c r="A39" s="11">
        <v>2023</v>
      </c>
      <c r="B39" s="3" t="s">
        <v>50</v>
      </c>
      <c r="C39" s="3" t="s">
        <v>51</v>
      </c>
      <c r="D39" s="3" t="s">
        <v>52</v>
      </c>
      <c r="E39" s="3" t="s">
        <v>6</v>
      </c>
      <c r="F39" s="3" t="s">
        <v>7</v>
      </c>
      <c r="G39" s="75" t="s">
        <v>335</v>
      </c>
      <c r="H39" s="4">
        <v>0</v>
      </c>
      <c r="I39" s="4"/>
      <c r="J39" s="4"/>
      <c r="K39" s="4" t="s">
        <v>192</v>
      </c>
      <c r="L39" s="4"/>
      <c r="M39" s="4"/>
      <c r="N39" s="4"/>
      <c r="O39" s="4"/>
      <c r="P39" s="7" t="s">
        <v>334</v>
      </c>
      <c r="Q39" s="7" t="s">
        <v>336</v>
      </c>
      <c r="R39" s="6">
        <f>(COUNTA(Table1[[#This Row],[Throughput (P)]],Table1[[#This Row],[Cost /Price (c)]],Table1[[#This Row],[Workload (W)]],Table1[[#This Row],[Latency (L)]],Table1[[#This Row],[Cold start (S)]],Table1[[#This Row],[Execution Time (T)]],Table1[[#This Row],[Resouce Allocation]]))</f>
        <v>1</v>
      </c>
    </row>
    <row r="40" spans="1:18" x14ac:dyDescent="0.3">
      <c r="A40" s="11">
        <v>2023</v>
      </c>
      <c r="B40" s="3" t="s">
        <v>95</v>
      </c>
      <c r="C40" s="3" t="s">
        <v>96</v>
      </c>
      <c r="D40" s="3" t="s">
        <v>97</v>
      </c>
      <c r="E40" s="3" t="s">
        <v>87</v>
      </c>
      <c r="F40" s="3" t="s">
        <v>86</v>
      </c>
      <c r="G40" s="86" t="s">
        <v>339</v>
      </c>
      <c r="H40" s="4">
        <v>0</v>
      </c>
      <c r="I40" s="4"/>
      <c r="J40" s="4"/>
      <c r="K40" s="4" t="s">
        <v>192</v>
      </c>
      <c r="L40" s="4"/>
      <c r="M40" s="4"/>
      <c r="N40" s="4" t="s">
        <v>301</v>
      </c>
      <c r="O40" s="4"/>
      <c r="P40" s="7" t="s">
        <v>337</v>
      </c>
      <c r="Q40" s="7" t="s">
        <v>338</v>
      </c>
      <c r="R40" s="6">
        <f>(COUNTA(Table1[[#This Row],[Throughput (P)]],Table1[[#This Row],[Cost /Price (c)]],Table1[[#This Row],[Workload (W)]],Table1[[#This Row],[Latency (L)]],Table1[[#This Row],[Cold start (S)]],Table1[[#This Row],[Execution Time (T)]],Table1[[#This Row],[Resouce Allocation]]))</f>
        <v>2</v>
      </c>
    </row>
    <row r="41" spans="1:18" x14ac:dyDescent="0.3">
      <c r="A41" s="11">
        <v>2023</v>
      </c>
      <c r="B41" s="3" t="s">
        <v>47</v>
      </c>
      <c r="C41" s="3" t="s">
        <v>48</v>
      </c>
      <c r="D41" s="3" t="s">
        <v>49</v>
      </c>
      <c r="E41" s="3" t="s">
        <v>6</v>
      </c>
      <c r="F41" s="3" t="s">
        <v>7</v>
      </c>
      <c r="G41" s="84" t="s">
        <v>341</v>
      </c>
      <c r="H41" s="4">
        <v>0</v>
      </c>
      <c r="I41" s="4" t="s">
        <v>190</v>
      </c>
      <c r="J41" s="4"/>
      <c r="K41" s="4" t="s">
        <v>192</v>
      </c>
      <c r="L41" s="4"/>
      <c r="M41" s="4"/>
      <c r="N41" s="4"/>
      <c r="O41" s="4"/>
      <c r="P41" s="7" t="s">
        <v>342</v>
      </c>
      <c r="Q41" s="7" t="s">
        <v>343</v>
      </c>
      <c r="R41" s="6">
        <f>(COUNTA(Table1[[#This Row],[Throughput (P)]],Table1[[#This Row],[Cost /Price (c)]],Table1[[#This Row],[Workload (W)]],Table1[[#This Row],[Latency (L)]],Table1[[#This Row],[Cold start (S)]],Table1[[#This Row],[Execution Time (T)]],Table1[[#This Row],[Resouce Allocation]]))</f>
        <v>2</v>
      </c>
    </row>
    <row r="42" spans="1:18" x14ac:dyDescent="0.3">
      <c r="A42" s="11">
        <v>2023</v>
      </c>
      <c r="B42" s="3" t="s">
        <v>92</v>
      </c>
      <c r="C42" s="3" t="s">
        <v>93</v>
      </c>
      <c r="D42" s="3" t="s">
        <v>94</v>
      </c>
      <c r="E42" s="3" t="s">
        <v>85</v>
      </c>
      <c r="F42" s="3" t="s">
        <v>86</v>
      </c>
      <c r="G42" s="88" t="s">
        <v>344</v>
      </c>
      <c r="H42" s="4">
        <v>0</v>
      </c>
      <c r="I42" s="4"/>
      <c r="J42" s="4"/>
      <c r="K42" s="4"/>
      <c r="L42" s="4" t="s">
        <v>193</v>
      </c>
      <c r="M42" s="4" t="s">
        <v>191</v>
      </c>
      <c r="N42" s="4"/>
      <c r="O42" s="4"/>
      <c r="P42" s="7" t="s">
        <v>345</v>
      </c>
      <c r="Q42" s="7" t="s">
        <v>346</v>
      </c>
      <c r="R42" s="6">
        <f>(COUNTA(Table1[[#This Row],[Throughput (P)]],Table1[[#This Row],[Cost /Price (c)]],Table1[[#This Row],[Workload (W)]],Table1[[#This Row],[Latency (L)]],Table1[[#This Row],[Cold start (S)]],Table1[[#This Row],[Execution Time (T)]],Table1[[#This Row],[Resouce Allocation]]))</f>
        <v>2</v>
      </c>
    </row>
    <row r="43" spans="1:18" x14ac:dyDescent="0.3">
      <c r="A43" s="11">
        <v>2023</v>
      </c>
      <c r="B43" s="3" t="s">
        <v>41</v>
      </c>
      <c r="C43" s="3" t="s">
        <v>42</v>
      </c>
      <c r="D43" s="3" t="s">
        <v>43</v>
      </c>
      <c r="E43" s="3" t="s">
        <v>6</v>
      </c>
      <c r="F43" s="3" t="s">
        <v>7</v>
      </c>
      <c r="G43" s="86" t="s">
        <v>548</v>
      </c>
      <c r="H43" s="4">
        <v>0</v>
      </c>
      <c r="I43" s="4"/>
      <c r="J43" s="4"/>
      <c r="K43" s="4"/>
      <c r="L43" s="4"/>
      <c r="M43" s="4" t="s">
        <v>191</v>
      </c>
      <c r="N43" s="4"/>
      <c r="O43" s="4"/>
      <c r="P43" s="7" t="s">
        <v>348</v>
      </c>
      <c r="Q43" s="7" t="s">
        <v>349</v>
      </c>
      <c r="R43" s="6">
        <f>(COUNTA(Table1[[#This Row],[Throughput (P)]],Table1[[#This Row],[Cost /Price (c)]],Table1[[#This Row],[Workload (W)]],Table1[[#This Row],[Latency (L)]],Table1[[#This Row],[Cold start (S)]],Table1[[#This Row],[Execution Time (T)]],Table1[[#This Row],[Resouce Allocation]]))</f>
        <v>1</v>
      </c>
    </row>
    <row r="44" spans="1:18" ht="16.2" customHeight="1" x14ac:dyDescent="0.3">
      <c r="A44" s="12">
        <v>2024</v>
      </c>
      <c r="B44" s="3" t="s">
        <v>35</v>
      </c>
      <c r="C44" s="3" t="s">
        <v>36</v>
      </c>
      <c r="D44" s="3" t="s">
        <v>37</v>
      </c>
      <c r="E44" s="3" t="s">
        <v>6</v>
      </c>
      <c r="F44" s="3" t="s">
        <v>7</v>
      </c>
      <c r="G44" s="14" t="s">
        <v>199</v>
      </c>
      <c r="H44" s="4">
        <v>0</v>
      </c>
      <c r="I44" s="4"/>
      <c r="J44" s="4"/>
      <c r="K44" s="4"/>
      <c r="L44" s="4"/>
      <c r="M44" s="4"/>
      <c r="N44" s="4"/>
      <c r="O44" s="4"/>
      <c r="P44" s="7" t="s">
        <v>350</v>
      </c>
      <c r="Q44" s="21" t="s">
        <v>516</v>
      </c>
      <c r="R44" s="6">
        <f>(COUNTA(Table1[[#This Row],[Throughput (P)]],Table1[[#This Row],[Cost /Price (c)]],Table1[[#This Row],[Workload (W)]],Table1[[#This Row],[Latency (L)]],Table1[[#This Row],[Cold start (S)]],Table1[[#This Row],[Execution Time (T)]],Table1[[#This Row],[Resouce Allocation]]))</f>
        <v>0</v>
      </c>
    </row>
    <row r="45" spans="1:18" x14ac:dyDescent="0.3">
      <c r="A45" s="12">
        <v>2024</v>
      </c>
      <c r="B45" s="3" t="s">
        <v>228</v>
      </c>
      <c r="C45" s="3" t="s">
        <v>229</v>
      </c>
      <c r="D45" s="3" t="s">
        <v>230</v>
      </c>
      <c r="E45" s="3" t="s">
        <v>6</v>
      </c>
      <c r="F45" s="3" t="s">
        <v>7</v>
      </c>
      <c r="G45" s="86" t="s">
        <v>359</v>
      </c>
      <c r="H45" s="4">
        <v>0</v>
      </c>
      <c r="I45" s="4"/>
      <c r="J45" s="4" t="s">
        <v>195</v>
      </c>
      <c r="K45" s="4" t="s">
        <v>192</v>
      </c>
      <c r="L45" s="4"/>
      <c r="M45" s="4"/>
      <c r="N45" s="4"/>
      <c r="O45" s="4"/>
      <c r="P45" s="7" t="s">
        <v>358</v>
      </c>
      <c r="Q45" s="7" t="s">
        <v>360</v>
      </c>
      <c r="R45" s="6">
        <f>(COUNTA(Table1[[#This Row],[Throughput (P)]],Table1[[#This Row],[Cost /Price (c)]],Table1[[#This Row],[Workload (W)]],Table1[[#This Row],[Latency (L)]],Table1[[#This Row],[Cold start (S)]],Table1[[#This Row],[Execution Time (T)]],Table1[[#This Row],[Resouce Allocation]]))</f>
        <v>2</v>
      </c>
    </row>
    <row r="46" spans="1:18" ht="13.2" customHeight="1" x14ac:dyDescent="0.3">
      <c r="A46" s="12">
        <v>2024</v>
      </c>
      <c r="B46" s="3" t="s">
        <v>246</v>
      </c>
      <c r="C46" s="3" t="s">
        <v>247</v>
      </c>
      <c r="D46" s="3" t="s">
        <v>248</v>
      </c>
      <c r="E46" s="3" t="s">
        <v>6</v>
      </c>
      <c r="F46" s="3" t="s">
        <v>7</v>
      </c>
      <c r="G46" s="86" t="s">
        <v>396</v>
      </c>
      <c r="H46" s="4">
        <v>0</v>
      </c>
      <c r="I46" s="4" t="s">
        <v>190</v>
      </c>
      <c r="J46" s="4"/>
      <c r="K46" s="4"/>
      <c r="L46" s="4"/>
      <c r="M46" s="4" t="s">
        <v>191</v>
      </c>
      <c r="N46" s="4"/>
      <c r="O46" s="4" t="s">
        <v>540</v>
      </c>
      <c r="P46" s="7" t="s">
        <v>394</v>
      </c>
      <c r="Q46" s="7" t="s">
        <v>395</v>
      </c>
      <c r="R46" s="6">
        <f>(COUNTA(Table1[[#This Row],[Throughput (P)]],Table1[[#This Row],[Cost /Price (c)]],Table1[[#This Row],[Workload (W)]],Table1[[#This Row],[Latency (L)]],Table1[[#This Row],[Cold start (S)]],Table1[[#This Row],[Execution Time (T)]],Table1[[#This Row],[Resouce Allocation]]))</f>
        <v>3</v>
      </c>
    </row>
    <row r="47" spans="1:18" x14ac:dyDescent="0.3">
      <c r="A47" s="12">
        <v>2024</v>
      </c>
      <c r="B47" s="3" t="s">
        <v>249</v>
      </c>
      <c r="C47" s="3" t="s">
        <v>250</v>
      </c>
      <c r="D47" s="3" t="s">
        <v>251</v>
      </c>
      <c r="E47" s="3" t="s">
        <v>6</v>
      </c>
      <c r="F47" s="3" t="s">
        <v>7</v>
      </c>
      <c r="G47" s="86" t="s">
        <v>311</v>
      </c>
      <c r="H47" s="4">
        <v>0</v>
      </c>
      <c r="I47" s="4"/>
      <c r="J47" s="4"/>
      <c r="K47" s="4" t="s">
        <v>192</v>
      </c>
      <c r="L47" s="4"/>
      <c r="M47" s="4" t="s">
        <v>191</v>
      </c>
      <c r="N47" s="4"/>
      <c r="O47" s="4"/>
      <c r="P47" s="7" t="s">
        <v>398</v>
      </c>
      <c r="Q47" s="7" t="s">
        <v>397</v>
      </c>
      <c r="R47" s="6">
        <f>(COUNTA(Table1[[#This Row],[Throughput (P)]],Table1[[#This Row],[Cost /Price (c)]],Table1[[#This Row],[Workload (W)]],Table1[[#This Row],[Latency (L)]],Table1[[#This Row],[Cold start (S)]],Table1[[#This Row],[Execution Time (T)]],Table1[[#This Row],[Resouce Allocation]]))</f>
        <v>2</v>
      </c>
    </row>
    <row r="48" spans="1:18" x14ac:dyDescent="0.3">
      <c r="A48" s="12">
        <v>2024</v>
      </c>
      <c r="B48" s="3" t="s">
        <v>170</v>
      </c>
      <c r="C48" s="3" t="s">
        <v>171</v>
      </c>
      <c r="D48" s="3" t="s">
        <v>172</v>
      </c>
      <c r="E48" s="3" t="s">
        <v>6</v>
      </c>
      <c r="F48" s="3" t="s">
        <v>163</v>
      </c>
      <c r="G48" s="86" t="s">
        <v>542</v>
      </c>
      <c r="H48" s="4">
        <v>0</v>
      </c>
      <c r="I48" s="4"/>
      <c r="J48" s="4"/>
      <c r="K48" s="4" t="s">
        <v>192</v>
      </c>
      <c r="L48" s="4"/>
      <c r="M48" s="4" t="s">
        <v>191</v>
      </c>
      <c r="N48" s="4"/>
      <c r="O48" s="4" t="s">
        <v>540</v>
      </c>
      <c r="P48" s="7" t="s">
        <v>352</v>
      </c>
      <c r="Q48" s="7" t="s">
        <v>353</v>
      </c>
      <c r="R48" s="6">
        <f>(COUNTA(Table1[[#This Row],[Throughput (P)]],Table1[[#This Row],[Cost /Price (c)]],Table1[[#This Row],[Workload (W)]],Table1[[#This Row],[Latency (L)]],Table1[[#This Row],[Cold start (S)]],Table1[[#This Row],[Execution Time (T)]],Table1[[#This Row],[Resouce Allocation]]))</f>
        <v>3</v>
      </c>
    </row>
    <row r="49" spans="1:18" x14ac:dyDescent="0.3">
      <c r="A49" s="12">
        <v>2024</v>
      </c>
      <c r="B49" s="3" t="s">
        <v>146</v>
      </c>
      <c r="C49" s="3" t="s">
        <v>145</v>
      </c>
      <c r="D49" s="3" t="s">
        <v>147</v>
      </c>
      <c r="E49" s="3" t="s">
        <v>6</v>
      </c>
      <c r="F49" s="3" t="s">
        <v>127</v>
      </c>
      <c r="G49" s="84" t="s">
        <v>355</v>
      </c>
      <c r="H49" s="4">
        <v>0</v>
      </c>
      <c r="I49" s="4" t="s">
        <v>190</v>
      </c>
      <c r="J49" s="4"/>
      <c r="K49" s="4"/>
      <c r="L49" s="4"/>
      <c r="M49" s="4" t="s">
        <v>191</v>
      </c>
      <c r="N49" s="4"/>
      <c r="O49" s="4"/>
      <c r="P49" s="7" t="s">
        <v>354</v>
      </c>
      <c r="Q49" s="7" t="s">
        <v>356</v>
      </c>
      <c r="R49" s="6">
        <f>(COUNTA(Table1[[#This Row],[Throughput (P)]],Table1[[#This Row],[Cost /Price (c)]],Table1[[#This Row],[Workload (W)]],Table1[[#This Row],[Latency (L)]],Table1[[#This Row],[Cold start (S)]],Table1[[#This Row],[Execution Time (T)]],Table1[[#This Row],[Resouce Allocation]]))</f>
        <v>2</v>
      </c>
    </row>
    <row r="50" spans="1:18" x14ac:dyDescent="0.3">
      <c r="A50" s="12">
        <v>2024</v>
      </c>
      <c r="B50" s="3" t="s">
        <v>434</v>
      </c>
      <c r="C50" s="3" t="s">
        <v>435</v>
      </c>
      <c r="D50" s="3" t="s">
        <v>436</v>
      </c>
      <c r="E50" s="3" t="s">
        <v>433</v>
      </c>
      <c r="F50" s="3" t="s">
        <v>102</v>
      </c>
      <c r="G50" s="91" t="s">
        <v>437</v>
      </c>
      <c r="H50" s="4">
        <v>0</v>
      </c>
      <c r="I50" s="4" t="s">
        <v>190</v>
      </c>
      <c r="J50" s="4" t="s">
        <v>195</v>
      </c>
      <c r="K50" s="4" t="s">
        <v>192</v>
      </c>
      <c r="L50" s="4"/>
      <c r="M50" s="4"/>
      <c r="N50" s="4"/>
      <c r="O50" s="4"/>
      <c r="P50" s="7" t="s">
        <v>406</v>
      </c>
      <c r="Q50" s="7"/>
      <c r="R50" s="6">
        <f>(COUNTA(Table1[[#This Row],[Throughput (P)]],Table1[[#This Row],[Cost /Price (c)]],Table1[[#This Row],[Workload (W)]],Table1[[#This Row],[Latency (L)]],Table1[[#This Row],[Cold start (S)]],Table1[[#This Row],[Execution Time (T)]],Table1[[#This Row],[Resouce Allocation]]))</f>
        <v>3</v>
      </c>
    </row>
    <row r="51" spans="1:18" x14ac:dyDescent="0.3">
      <c r="A51" s="12">
        <v>2024</v>
      </c>
      <c r="B51" s="3" t="s">
        <v>26</v>
      </c>
      <c r="C51" s="3" t="s">
        <v>27</v>
      </c>
      <c r="D51" s="3" t="s">
        <v>28</v>
      </c>
      <c r="E51" s="3" t="s">
        <v>6</v>
      </c>
      <c r="F51" s="3" t="s">
        <v>7</v>
      </c>
      <c r="G51" s="74" t="s">
        <v>361</v>
      </c>
      <c r="H51" s="4">
        <v>0</v>
      </c>
      <c r="I51" s="4"/>
      <c r="J51" s="4"/>
      <c r="K51" s="4" t="s">
        <v>192</v>
      </c>
      <c r="L51" s="4"/>
      <c r="M51" s="4" t="s">
        <v>191</v>
      </c>
      <c r="N51" s="4"/>
      <c r="O51" s="4"/>
      <c r="P51" s="7" t="s">
        <v>362</v>
      </c>
      <c r="Q51" s="7" t="s">
        <v>363</v>
      </c>
      <c r="R51" s="6">
        <f>(COUNTA(Table1[[#This Row],[Throughput (P)]],Table1[[#This Row],[Cost /Price (c)]],Table1[[#This Row],[Workload (W)]],Table1[[#This Row],[Latency (L)]],Table1[[#This Row],[Cold start (S)]],Table1[[#This Row],[Execution Time (T)]],Table1[[#This Row],[Resouce Allocation]]))</f>
        <v>2</v>
      </c>
    </row>
    <row r="52" spans="1:18" x14ac:dyDescent="0.3">
      <c r="A52" s="12">
        <v>2024</v>
      </c>
      <c r="B52" s="24" t="s">
        <v>429</v>
      </c>
      <c r="C52" s="3" t="s">
        <v>430</v>
      </c>
      <c r="D52" s="24" t="s">
        <v>438</v>
      </c>
      <c r="E52" s="24" t="s">
        <v>428</v>
      </c>
      <c r="F52" s="24" t="s">
        <v>427</v>
      </c>
      <c r="G52" s="89" t="s">
        <v>282</v>
      </c>
      <c r="H52" s="4">
        <v>0</v>
      </c>
      <c r="I52" s="25"/>
      <c r="J52" s="25" t="s">
        <v>195</v>
      </c>
      <c r="K52" s="25" t="s">
        <v>192</v>
      </c>
      <c r="L52" s="25"/>
      <c r="M52" s="25" t="s">
        <v>191</v>
      </c>
      <c r="N52" s="25"/>
      <c r="O52" s="25"/>
      <c r="P52" s="23" t="s">
        <v>431</v>
      </c>
      <c r="Q52" s="23" t="s">
        <v>432</v>
      </c>
      <c r="R52" s="6">
        <f>(COUNTA(Table1[[#This Row],[Throughput (P)]],Table1[[#This Row],[Cost /Price (c)]],Table1[[#This Row],[Workload (W)]],Table1[[#This Row],[Latency (L)]],Table1[[#This Row],[Cold start (S)]],Table1[[#This Row],[Execution Time (T)]],Table1[[#This Row],[Resouce Allocation]]))</f>
        <v>3</v>
      </c>
    </row>
    <row r="53" spans="1:18" ht="15" customHeight="1" x14ac:dyDescent="0.3">
      <c r="A53" s="12">
        <v>2024</v>
      </c>
      <c r="B53" s="3" t="s">
        <v>14</v>
      </c>
      <c r="C53" s="3" t="s">
        <v>24</v>
      </c>
      <c r="D53" s="3" t="s">
        <v>25</v>
      </c>
      <c r="E53" s="3" t="s">
        <v>6</v>
      </c>
      <c r="F53" s="3" t="s">
        <v>7</v>
      </c>
      <c r="G53" s="14" t="s">
        <v>364</v>
      </c>
      <c r="H53" s="4">
        <v>0</v>
      </c>
      <c r="I53" s="4"/>
      <c r="J53" s="4"/>
      <c r="K53" s="4"/>
      <c r="L53" s="4"/>
      <c r="M53" s="4" t="s">
        <v>191</v>
      </c>
      <c r="N53" s="4"/>
      <c r="O53" s="4"/>
      <c r="P53" s="7" t="s">
        <v>406</v>
      </c>
      <c r="Q53" s="7" t="s">
        <v>365</v>
      </c>
      <c r="R53" s="6">
        <f>(COUNTA(Table1[[#This Row],[Throughput (P)]],Table1[[#This Row],[Cost /Price (c)]],Table1[[#This Row],[Workload (W)]],Table1[[#This Row],[Latency (L)]],Table1[[#This Row],[Cold start (S)]],Table1[[#This Row],[Execution Time (T)]],Table1[[#This Row],[Resouce Allocation]]))</f>
        <v>1</v>
      </c>
    </row>
    <row r="54" spans="1:18" x14ac:dyDescent="0.3">
      <c r="A54" s="12">
        <v>2024</v>
      </c>
      <c r="B54" s="3" t="s">
        <v>29</v>
      </c>
      <c r="C54" s="3" t="s">
        <v>30</v>
      </c>
      <c r="D54" s="3" t="s">
        <v>31</v>
      </c>
      <c r="E54" s="3" t="s">
        <v>6</v>
      </c>
      <c r="F54" s="3" t="s">
        <v>7</v>
      </c>
      <c r="G54" s="74" t="s">
        <v>551</v>
      </c>
      <c r="H54" s="4">
        <v>0</v>
      </c>
      <c r="I54" s="4"/>
      <c r="J54" s="4"/>
      <c r="K54" s="4" t="s">
        <v>192</v>
      </c>
      <c r="L54" s="4" t="s">
        <v>193</v>
      </c>
      <c r="M54" s="4" t="s">
        <v>191</v>
      </c>
      <c r="N54" s="4"/>
      <c r="O54" s="4"/>
      <c r="P54" s="7" t="s">
        <v>367</v>
      </c>
      <c r="Q54" s="7" t="s">
        <v>368</v>
      </c>
      <c r="R54" s="6">
        <f>(COUNTA(Table1[[#This Row],[Throughput (P)]],Table1[[#This Row],[Cost /Price (c)]],Table1[[#This Row],[Workload (W)]],Table1[[#This Row],[Latency (L)]],Table1[[#This Row],[Cold start (S)]],Table1[[#This Row],[Execution Time (T)]],Table1[[#This Row],[Resouce Allocation]]))</f>
        <v>3</v>
      </c>
    </row>
    <row r="55" spans="1:18" x14ac:dyDescent="0.3">
      <c r="A55" s="12">
        <v>2024</v>
      </c>
      <c r="B55" s="3" t="s">
        <v>38</v>
      </c>
      <c r="C55" s="3" t="s">
        <v>39</v>
      </c>
      <c r="D55" s="3" t="s">
        <v>40</v>
      </c>
      <c r="E55" s="3" t="s">
        <v>6</v>
      </c>
      <c r="F55" s="3" t="s">
        <v>7</v>
      </c>
      <c r="G55" s="74" t="s">
        <v>369</v>
      </c>
      <c r="H55" s="4">
        <v>0</v>
      </c>
      <c r="I55" s="4"/>
      <c r="J55" s="4"/>
      <c r="K55" s="22" t="s">
        <v>192</v>
      </c>
      <c r="L55" s="4" t="s">
        <v>193</v>
      </c>
      <c r="M55" s="4" t="s">
        <v>191</v>
      </c>
      <c r="N55" s="4"/>
      <c r="O55" s="4"/>
      <c r="P55" s="7" t="s">
        <v>370</v>
      </c>
      <c r="Q55" s="7" t="s">
        <v>371</v>
      </c>
      <c r="R55" s="6">
        <f>(COUNTA(Table1[[#This Row],[Throughput (P)]],Table1[[#This Row],[Cost /Price (c)]],Table1[[#This Row],[Workload (W)]],Table1[[#This Row],[Latency (L)]],Table1[[#This Row],[Cold start (S)]],Table1[[#This Row],[Execution Time (T)]],Table1[[#This Row],[Resouce Allocation]]))</f>
        <v>3</v>
      </c>
    </row>
    <row r="56" spans="1:18" x14ac:dyDescent="0.3">
      <c r="A56" s="12">
        <v>2024</v>
      </c>
      <c r="B56" s="3" t="s">
        <v>202</v>
      </c>
      <c r="C56" s="3" t="s">
        <v>203</v>
      </c>
      <c r="D56" s="3" t="s">
        <v>204</v>
      </c>
      <c r="E56" s="3" t="s">
        <v>6</v>
      </c>
      <c r="F56" s="3" t="s">
        <v>7</v>
      </c>
      <c r="G56" s="86" t="s">
        <v>322</v>
      </c>
      <c r="H56" s="4">
        <v>0</v>
      </c>
      <c r="I56" s="4"/>
      <c r="J56" s="4"/>
      <c r="K56" s="4" t="s">
        <v>192</v>
      </c>
      <c r="L56" s="4" t="s">
        <v>193</v>
      </c>
      <c r="M56" s="4" t="s">
        <v>191</v>
      </c>
      <c r="N56" s="4" t="s">
        <v>301</v>
      </c>
      <c r="O56" s="4"/>
      <c r="P56" s="7" t="s">
        <v>377</v>
      </c>
      <c r="Q56" s="7" t="s">
        <v>379</v>
      </c>
      <c r="R56" s="6">
        <f>(COUNTA(Table1[[#This Row],[Throughput (P)]],Table1[[#This Row],[Cost /Price (c)]],Table1[[#This Row],[Workload (W)]],Table1[[#This Row],[Latency (L)]],Table1[[#This Row],[Cold start (S)]],Table1[[#This Row],[Execution Time (T)]],Table1[[#This Row],[Resouce Allocation]]))</f>
        <v>4</v>
      </c>
    </row>
    <row r="57" spans="1:18" x14ac:dyDescent="0.3">
      <c r="A57" s="12">
        <v>2024</v>
      </c>
      <c r="B57" s="3" t="s">
        <v>205</v>
      </c>
      <c r="C57" s="3" t="s">
        <v>206</v>
      </c>
      <c r="D57" s="3" t="s">
        <v>207</v>
      </c>
      <c r="E57" s="3" t="s">
        <v>6</v>
      </c>
      <c r="F57" s="3" t="s">
        <v>7</v>
      </c>
      <c r="G57" s="86" t="s">
        <v>382</v>
      </c>
      <c r="H57" s="4">
        <v>0</v>
      </c>
      <c r="I57" s="4"/>
      <c r="J57" s="4"/>
      <c r="K57" s="4" t="s">
        <v>192</v>
      </c>
      <c r="L57" s="4"/>
      <c r="M57" s="4"/>
      <c r="N57" s="4"/>
      <c r="O57" s="4"/>
      <c r="P57" s="7" t="s">
        <v>380</v>
      </c>
      <c r="Q57" s="7" t="s">
        <v>381</v>
      </c>
      <c r="R57" s="6">
        <f>(COUNTA(Table1[[#This Row],[Throughput (P)]],Table1[[#This Row],[Cost /Price (c)]],Table1[[#This Row],[Workload (W)]],Table1[[#This Row],[Latency (L)]],Table1[[#This Row],[Cold start (S)]],Table1[[#This Row],[Execution Time (T)]],Table1[[#This Row],[Resouce Allocation]]))</f>
        <v>1</v>
      </c>
    </row>
    <row r="58" spans="1:18" x14ac:dyDescent="0.3">
      <c r="A58" s="12">
        <v>2024</v>
      </c>
      <c r="B58" s="3" t="s">
        <v>208</v>
      </c>
      <c r="C58" s="3" t="s">
        <v>209</v>
      </c>
      <c r="D58" s="3" t="s">
        <v>210</v>
      </c>
      <c r="E58" s="3" t="s">
        <v>211</v>
      </c>
      <c r="F58" s="3" t="s">
        <v>102</v>
      </c>
      <c r="G58" s="87" t="s">
        <v>384</v>
      </c>
      <c r="H58" s="4">
        <v>0</v>
      </c>
      <c r="I58" s="4" t="s">
        <v>190</v>
      </c>
      <c r="J58" s="4"/>
      <c r="K58" s="4" t="s">
        <v>192</v>
      </c>
      <c r="L58" s="4" t="s">
        <v>193</v>
      </c>
      <c r="M58" s="4" t="s">
        <v>191</v>
      </c>
      <c r="N58" s="4"/>
      <c r="O58" s="4"/>
      <c r="P58" s="7" t="s">
        <v>383</v>
      </c>
      <c r="Q58" s="7" t="s">
        <v>385</v>
      </c>
      <c r="R58" s="6">
        <f>(COUNTA(Table1[[#This Row],[Throughput (P)]],Table1[[#This Row],[Cost /Price (c)]],Table1[[#This Row],[Workload (W)]],Table1[[#This Row],[Latency (L)]],Table1[[#This Row],[Cold start (S)]],Table1[[#This Row],[Execution Time (T)]],Table1[[#This Row],[Resouce Allocation]]))</f>
        <v>4</v>
      </c>
    </row>
    <row r="59" spans="1:18" x14ac:dyDescent="0.3">
      <c r="A59" s="12">
        <v>2024</v>
      </c>
      <c r="B59" s="3" t="s">
        <v>212</v>
      </c>
      <c r="C59" s="3" t="s">
        <v>213</v>
      </c>
      <c r="D59" s="3" t="s">
        <v>214</v>
      </c>
      <c r="E59" s="3" t="s">
        <v>6</v>
      </c>
      <c r="F59" s="3" t="s">
        <v>7</v>
      </c>
      <c r="G59" s="87" t="s">
        <v>387</v>
      </c>
      <c r="H59" s="4">
        <v>0</v>
      </c>
      <c r="I59" s="4" t="s">
        <v>190</v>
      </c>
      <c r="J59" s="4"/>
      <c r="K59" s="4" t="s">
        <v>192</v>
      </c>
      <c r="L59" s="4" t="s">
        <v>193</v>
      </c>
      <c r="M59" s="4" t="s">
        <v>191</v>
      </c>
      <c r="N59" s="4"/>
      <c r="O59" s="4"/>
      <c r="P59" s="7" t="s">
        <v>386</v>
      </c>
      <c r="Q59" s="7" t="s">
        <v>388</v>
      </c>
      <c r="R59" s="6">
        <f>(COUNTA(Table1[[#This Row],[Throughput (P)]],Table1[[#This Row],[Cost /Price (c)]],Table1[[#This Row],[Workload (W)]],Table1[[#This Row],[Latency (L)]],Table1[[#This Row],[Cold start (S)]],Table1[[#This Row],[Execution Time (T)]],Table1[[#This Row],[Resouce Allocation]]))</f>
        <v>4</v>
      </c>
    </row>
    <row r="60" spans="1:18" x14ac:dyDescent="0.3">
      <c r="A60" s="12">
        <v>2024</v>
      </c>
      <c r="B60" s="3" t="s">
        <v>215</v>
      </c>
      <c r="C60" s="3" t="s">
        <v>216</v>
      </c>
      <c r="D60" s="3" t="s">
        <v>217</v>
      </c>
      <c r="E60" s="3" t="s">
        <v>101</v>
      </c>
      <c r="F60" s="3" t="s">
        <v>102</v>
      </c>
      <c r="G60" s="86" t="s">
        <v>389</v>
      </c>
      <c r="H60" s="4">
        <v>0</v>
      </c>
      <c r="I60" s="4"/>
      <c r="J60" s="4"/>
      <c r="K60" s="4"/>
      <c r="L60" s="4" t="s">
        <v>193</v>
      </c>
      <c r="M60" s="4"/>
      <c r="N60" s="4"/>
      <c r="O60" s="4"/>
      <c r="P60" s="7" t="s">
        <v>390</v>
      </c>
      <c r="Q60" s="7" t="s">
        <v>391</v>
      </c>
      <c r="R60" s="6">
        <f>(COUNTA(Table1[[#This Row],[Throughput (P)]],Table1[[#This Row],[Cost /Price (c)]],Table1[[#This Row],[Workload (W)]],Table1[[#This Row],[Latency (L)]],Table1[[#This Row],[Cold start (S)]],Table1[[#This Row],[Execution Time (T)]],Table1[[#This Row],[Resouce Allocation]]))</f>
        <v>1</v>
      </c>
    </row>
    <row r="61" spans="1:18" x14ac:dyDescent="0.3">
      <c r="A61" s="12">
        <v>2024</v>
      </c>
      <c r="B61" s="3" t="s">
        <v>453</v>
      </c>
      <c r="C61" s="3" t="s">
        <v>454</v>
      </c>
      <c r="D61" s="3" t="s">
        <v>455</v>
      </c>
      <c r="E61" s="3" t="s">
        <v>6</v>
      </c>
      <c r="F61" s="3" t="s">
        <v>7</v>
      </c>
      <c r="G61" s="84" t="s">
        <v>456</v>
      </c>
      <c r="H61" s="4">
        <v>0</v>
      </c>
      <c r="I61" s="4" t="s">
        <v>190</v>
      </c>
      <c r="J61" s="4"/>
      <c r="K61" s="4" t="s">
        <v>192</v>
      </c>
      <c r="L61" s="4"/>
      <c r="M61" s="4"/>
      <c r="N61" s="4"/>
      <c r="O61" s="4"/>
      <c r="P61" s="7" t="s">
        <v>483</v>
      </c>
      <c r="Q61" s="7" t="s">
        <v>484</v>
      </c>
      <c r="R61" s="6">
        <f>(COUNTA(Table1[[#This Row],[Throughput (P)]],Table1[[#This Row],[Cost /Price (c)]],Table1[[#This Row],[Workload (W)]],Table1[[#This Row],[Latency (L)]],Table1[[#This Row],[Cold start (S)]],Table1[[#This Row],[Execution Time (T)]],Table1[[#This Row],[Resouce Allocation]]))</f>
        <v>2</v>
      </c>
    </row>
    <row r="62" spans="1:18" x14ac:dyDescent="0.3">
      <c r="A62" s="12">
        <v>2024</v>
      </c>
      <c r="B62" s="3" t="s">
        <v>457</v>
      </c>
      <c r="C62" s="3" t="s">
        <v>458</v>
      </c>
      <c r="D62" s="3" t="s">
        <v>459</v>
      </c>
      <c r="E62" s="3" t="s">
        <v>85</v>
      </c>
      <c r="F62" s="3" t="s">
        <v>86</v>
      </c>
      <c r="G62" s="86" t="s">
        <v>544</v>
      </c>
      <c r="H62" s="4">
        <v>0</v>
      </c>
      <c r="I62" s="4" t="s">
        <v>190</v>
      </c>
      <c r="J62" s="4"/>
      <c r="K62" s="4" t="s">
        <v>192</v>
      </c>
      <c r="L62" s="4" t="s">
        <v>193</v>
      </c>
      <c r="M62" s="4"/>
      <c r="N62" s="4"/>
      <c r="O62" s="4"/>
      <c r="P62" s="7" t="s">
        <v>485</v>
      </c>
      <c r="Q62" s="7" t="s">
        <v>486</v>
      </c>
      <c r="R62" s="6">
        <f>(COUNTA(Table1[[#This Row],[Throughput (P)]],Table1[[#This Row],[Cost /Price (c)]],Table1[[#This Row],[Workload (W)]],Table1[[#This Row],[Latency (L)]],Table1[[#This Row],[Cold start (S)]],Table1[[#This Row],[Execution Time (T)]],Table1[[#This Row],[Resouce Allocation]]))</f>
        <v>3</v>
      </c>
    </row>
    <row r="63" spans="1:18" ht="13.8" customHeight="1" x14ac:dyDescent="0.3">
      <c r="A63" s="12">
        <v>2024</v>
      </c>
      <c r="B63" s="3" t="s">
        <v>32</v>
      </c>
      <c r="C63" s="3" t="s">
        <v>33</v>
      </c>
      <c r="D63" s="3" t="s">
        <v>34</v>
      </c>
      <c r="E63" s="3" t="s">
        <v>6</v>
      </c>
      <c r="F63" s="3" t="s">
        <v>7</v>
      </c>
      <c r="G63" s="84" t="s">
        <v>373</v>
      </c>
      <c r="H63" s="4">
        <v>0</v>
      </c>
      <c r="I63" s="4"/>
      <c r="J63" s="4"/>
      <c r="K63" s="4" t="s">
        <v>192</v>
      </c>
      <c r="L63" s="4" t="s">
        <v>193</v>
      </c>
      <c r="M63" s="4" t="s">
        <v>191</v>
      </c>
      <c r="N63" s="4"/>
      <c r="O63" s="4" t="s">
        <v>540</v>
      </c>
      <c r="P63" s="7" t="s">
        <v>372</v>
      </c>
      <c r="Q63" s="7" t="s">
        <v>374</v>
      </c>
      <c r="R63" s="6">
        <f>(COUNTA(Table1[[#This Row],[Throughput (P)]],Table1[[#This Row],[Cost /Price (c)]],Table1[[#This Row],[Workload (W)]],Table1[[#This Row],[Latency (L)]],Table1[[#This Row],[Cold start (S)]],Table1[[#This Row],[Execution Time (T)]],Table1[[#This Row],[Resouce Allocation]]))</f>
        <v>4</v>
      </c>
    </row>
    <row r="64" spans="1:18" x14ac:dyDescent="0.3">
      <c r="A64" s="12">
        <v>2024</v>
      </c>
      <c r="B64" s="3" t="s">
        <v>460</v>
      </c>
      <c r="C64" s="3" t="s">
        <v>461</v>
      </c>
      <c r="D64" s="3" t="s">
        <v>462</v>
      </c>
      <c r="E64" s="3" t="s">
        <v>6</v>
      </c>
      <c r="F64" s="3" t="s">
        <v>7</v>
      </c>
      <c r="G64" s="86" t="s">
        <v>311</v>
      </c>
      <c r="H64" s="4">
        <v>0</v>
      </c>
      <c r="I64" s="4" t="s">
        <v>190</v>
      </c>
      <c r="J64" s="4" t="s">
        <v>195</v>
      </c>
      <c r="K64" s="4" t="s">
        <v>192</v>
      </c>
      <c r="L64" s="4"/>
      <c r="M64" s="4"/>
      <c r="N64" s="4"/>
      <c r="O64" s="4"/>
      <c r="P64" s="7" t="s">
        <v>410</v>
      </c>
      <c r="Q64" s="7" t="s">
        <v>490</v>
      </c>
      <c r="R64" s="6">
        <f>(COUNTA(Table1[[#This Row],[Throughput (P)]],Table1[[#This Row],[Cost /Price (c)]],Table1[[#This Row],[Workload (W)]],Table1[[#This Row],[Latency (L)]],Table1[[#This Row],[Cold start (S)]],Table1[[#This Row],[Execution Time (T)]],Table1[[#This Row],[Resouce Allocation]]))</f>
        <v>3</v>
      </c>
    </row>
    <row r="65" spans="1:18" x14ac:dyDescent="0.3">
      <c r="A65" s="12">
        <v>2024</v>
      </c>
      <c r="B65" s="3" t="s">
        <v>463</v>
      </c>
      <c r="C65" s="3" t="s">
        <v>464</v>
      </c>
      <c r="D65" s="3" t="s">
        <v>465</v>
      </c>
      <c r="E65" s="3" t="s">
        <v>6</v>
      </c>
      <c r="F65" s="3" t="s">
        <v>7</v>
      </c>
      <c r="G65" s="86" t="s">
        <v>552</v>
      </c>
      <c r="H65" s="4">
        <v>0</v>
      </c>
      <c r="I65" s="4" t="s">
        <v>190</v>
      </c>
      <c r="J65" s="4"/>
      <c r="K65" s="4" t="s">
        <v>192</v>
      </c>
      <c r="L65" s="4"/>
      <c r="M65" s="4"/>
      <c r="N65" s="4"/>
      <c r="O65" s="4"/>
      <c r="P65" s="7" t="s">
        <v>410</v>
      </c>
      <c r="Q65" s="7" t="s">
        <v>491</v>
      </c>
      <c r="R65" s="6">
        <f>(COUNTA(Table1[[#This Row],[Throughput (P)]],Table1[[#This Row],[Cost /Price (c)]],Table1[[#This Row],[Workload (W)]],Table1[[#This Row],[Latency (L)]],Table1[[#This Row],[Cold start (S)]],Table1[[#This Row],[Execution Time (T)]],Table1[[#This Row],[Resouce Allocation]]))</f>
        <v>2</v>
      </c>
    </row>
    <row r="66" spans="1:18" x14ac:dyDescent="0.3">
      <c r="A66" s="12">
        <v>2024</v>
      </c>
      <c r="B66" s="3" t="s">
        <v>143</v>
      </c>
      <c r="C66" s="3" t="s">
        <v>142</v>
      </c>
      <c r="D66" s="3" t="s">
        <v>144</v>
      </c>
      <c r="E66" s="3" t="s">
        <v>6</v>
      </c>
      <c r="F66" s="3" t="s">
        <v>127</v>
      </c>
      <c r="G66" s="86" t="s">
        <v>378</v>
      </c>
      <c r="H66" s="4">
        <v>0</v>
      </c>
      <c r="I66" s="4"/>
      <c r="J66" s="4" t="s">
        <v>195</v>
      </c>
      <c r="K66" s="4"/>
      <c r="L66" s="4"/>
      <c r="M66" s="4"/>
      <c r="N66" s="4"/>
      <c r="O66" s="4"/>
      <c r="P66" s="7" t="s">
        <v>376</v>
      </c>
      <c r="Q66" s="7" t="s">
        <v>375</v>
      </c>
      <c r="R66" s="6">
        <f>(COUNTA(Table1[[#This Row],[Throughput (P)]],Table1[[#This Row],[Cost /Price (c)]],Table1[[#This Row],[Workload (W)]],Table1[[#This Row],[Latency (L)]],Table1[[#This Row],[Cold start (S)]],Table1[[#This Row],[Execution Time (T)]],Table1[[#This Row],[Resouce Allocation]]))</f>
        <v>1</v>
      </c>
    </row>
    <row r="67" spans="1:18" ht="13.2" customHeight="1" x14ac:dyDescent="0.3">
      <c r="A67" s="12">
        <v>2024</v>
      </c>
      <c r="B67" s="3" t="s">
        <v>98</v>
      </c>
      <c r="C67" s="3" t="s">
        <v>99</v>
      </c>
      <c r="D67" s="3" t="s">
        <v>100</v>
      </c>
      <c r="E67" s="3" t="s">
        <v>85</v>
      </c>
      <c r="F67" s="3" t="s">
        <v>86</v>
      </c>
      <c r="G67" s="88" t="s">
        <v>344</v>
      </c>
      <c r="H67" s="4">
        <v>0</v>
      </c>
      <c r="I67" s="4"/>
      <c r="J67" s="4"/>
      <c r="K67" s="4"/>
      <c r="L67" s="4"/>
      <c r="M67" s="4" t="s">
        <v>191</v>
      </c>
      <c r="N67" s="4"/>
      <c r="O67" s="4"/>
      <c r="P67" s="7" t="s">
        <v>392</v>
      </c>
      <c r="Q67" s="7" t="s">
        <v>393</v>
      </c>
      <c r="R67" s="6">
        <f>(COUNTA(Table1[[#This Row],[Throughput (P)]],Table1[[#This Row],[Cost /Price (c)]],Table1[[#This Row],[Workload (W)]],Table1[[#This Row],[Latency (L)]],Table1[[#This Row],[Cold start (S)]],Table1[[#This Row],[Execution Time (T)]],Table1[[#This Row],[Resouce Allocation]]))</f>
        <v>1</v>
      </c>
    </row>
    <row r="68" spans="1:18" x14ac:dyDescent="0.3">
      <c r="A68" s="13">
        <v>2025</v>
      </c>
      <c r="B68" s="3" t="s">
        <v>8</v>
      </c>
      <c r="C68" s="3" t="s">
        <v>9</v>
      </c>
      <c r="D68" s="3" t="s">
        <v>10</v>
      </c>
      <c r="E68" s="3" t="s">
        <v>6</v>
      </c>
      <c r="F68" s="3" t="s">
        <v>7</v>
      </c>
      <c r="G68" s="74" t="s">
        <v>196</v>
      </c>
      <c r="H68" s="4">
        <v>0</v>
      </c>
      <c r="I68" s="4"/>
      <c r="J68" s="4" t="s">
        <v>195</v>
      </c>
      <c r="K68" s="4" t="s">
        <v>192</v>
      </c>
      <c r="L68" s="4" t="s">
        <v>193</v>
      </c>
      <c r="M68" s="4" t="s">
        <v>191</v>
      </c>
      <c r="N68" s="4"/>
      <c r="O68" s="4"/>
      <c r="P68" s="7" t="s">
        <v>399</v>
      </c>
      <c r="Q68" s="7" t="s">
        <v>400</v>
      </c>
      <c r="R68" s="6">
        <f>(COUNTA(Table1[[#This Row],[Throughput (P)]],Table1[[#This Row],[Cost /Price (c)]],Table1[[#This Row],[Workload (W)]],Table1[[#This Row],[Latency (L)]],Table1[[#This Row],[Cold start (S)]],Table1[[#This Row],[Execution Time (T)]],Table1[[#This Row],[Resouce Allocation]]))</f>
        <v>4</v>
      </c>
    </row>
    <row r="69" spans="1:18" x14ac:dyDescent="0.3">
      <c r="A69" s="13">
        <v>2025</v>
      </c>
      <c r="B69" s="3" t="s">
        <v>152</v>
      </c>
      <c r="C69" s="3" t="s">
        <v>151</v>
      </c>
      <c r="D69" s="3" t="s">
        <v>153</v>
      </c>
      <c r="E69" s="3" t="s">
        <v>6</v>
      </c>
      <c r="F69" s="3" t="s">
        <v>127</v>
      </c>
      <c r="G69" s="84" t="s">
        <v>401</v>
      </c>
      <c r="H69" s="4">
        <v>0</v>
      </c>
      <c r="I69" s="4"/>
      <c r="J69" s="4"/>
      <c r="K69" s="4" t="s">
        <v>192</v>
      </c>
      <c r="L69" s="4"/>
      <c r="M69" s="4" t="s">
        <v>191</v>
      </c>
      <c r="N69" s="4"/>
      <c r="O69" s="4"/>
      <c r="P69" s="23" t="s">
        <v>402</v>
      </c>
      <c r="Q69" s="23" t="s">
        <v>403</v>
      </c>
      <c r="R69" s="6">
        <f>(COUNTA(Table1[[#This Row],[Throughput (P)]],Table1[[#This Row],[Cost /Price (c)]],Table1[[#This Row],[Workload (W)]],Table1[[#This Row],[Latency (L)]],Table1[[#This Row],[Cold start (S)]],Table1[[#This Row],[Execution Time (T)]],Table1[[#This Row],[Resouce Allocation]]))</f>
        <v>2</v>
      </c>
    </row>
    <row r="70" spans="1:18" x14ac:dyDescent="0.3">
      <c r="A70" s="13">
        <v>2025</v>
      </c>
      <c r="B70" s="3" t="s">
        <v>11</v>
      </c>
      <c r="C70" s="3" t="s">
        <v>12</v>
      </c>
      <c r="D70" s="3" t="s">
        <v>13</v>
      </c>
      <c r="E70" s="3" t="s">
        <v>6</v>
      </c>
      <c r="F70" s="3" t="s">
        <v>7</v>
      </c>
      <c r="G70" s="74" t="s">
        <v>196</v>
      </c>
      <c r="H70" s="4">
        <v>0</v>
      </c>
      <c r="I70" s="4"/>
      <c r="J70" s="4" t="s">
        <v>195</v>
      </c>
      <c r="K70" s="4" t="s">
        <v>192</v>
      </c>
      <c r="L70" s="4"/>
      <c r="M70" s="4"/>
      <c r="N70" s="4"/>
      <c r="O70" s="4"/>
      <c r="P70" s="7" t="s">
        <v>404</v>
      </c>
      <c r="Q70" s="7" t="s">
        <v>405</v>
      </c>
      <c r="R70" s="6">
        <f>(COUNTA(Table1[[#This Row],[Throughput (P)]],Table1[[#This Row],[Cost /Price (c)]],Table1[[#This Row],[Workload (W)]],Table1[[#This Row],[Latency (L)]],Table1[[#This Row],[Cold start (S)]],Table1[[#This Row],[Execution Time (T)]],Table1[[#This Row],[Resouce Allocation]]))</f>
        <v>2</v>
      </c>
    </row>
    <row r="71" spans="1:18" x14ac:dyDescent="0.3">
      <c r="A71" s="13">
        <v>2025</v>
      </c>
      <c r="B71" s="3" t="s">
        <v>149</v>
      </c>
      <c r="C71" s="3" t="s">
        <v>148</v>
      </c>
      <c r="D71" s="3" t="s">
        <v>150</v>
      </c>
      <c r="E71" s="3" t="s">
        <v>6</v>
      </c>
      <c r="F71" s="3" t="s">
        <v>127</v>
      </c>
      <c r="G71" s="86" t="s">
        <v>311</v>
      </c>
      <c r="H71" s="4">
        <v>0</v>
      </c>
      <c r="I71" s="4" t="s">
        <v>190</v>
      </c>
      <c r="J71" s="4" t="s">
        <v>195</v>
      </c>
      <c r="K71" s="4"/>
      <c r="L71" s="4" t="s">
        <v>193</v>
      </c>
      <c r="M71" s="4"/>
      <c r="N71" s="4"/>
      <c r="O71" s="4" t="s">
        <v>540</v>
      </c>
      <c r="P71" s="7" t="s">
        <v>407</v>
      </c>
      <c r="Q71" s="7" t="s">
        <v>408</v>
      </c>
      <c r="R71" s="6">
        <f>(COUNTA(Table1[[#This Row],[Throughput (P)]],Table1[[#This Row],[Cost /Price (c)]],Table1[[#This Row],[Workload (W)]],Table1[[#This Row],[Latency (L)]],Table1[[#This Row],[Cold start (S)]],Table1[[#This Row],[Execution Time (T)]],Table1[[#This Row],[Resouce Allocation]]))</f>
        <v>4</v>
      </c>
    </row>
    <row r="72" spans="1:18" x14ac:dyDescent="0.3">
      <c r="A72" s="13">
        <v>2025</v>
      </c>
      <c r="B72" s="3" t="s">
        <v>15</v>
      </c>
      <c r="C72" s="3" t="s">
        <v>16</v>
      </c>
      <c r="D72" s="3" t="s">
        <v>17</v>
      </c>
      <c r="E72" s="3" t="s">
        <v>6</v>
      </c>
      <c r="F72" s="3" t="s">
        <v>7</v>
      </c>
      <c r="G72" s="84" t="s">
        <v>198</v>
      </c>
      <c r="H72" s="4">
        <v>0</v>
      </c>
      <c r="I72" s="4"/>
      <c r="J72" s="4" t="s">
        <v>195</v>
      </c>
      <c r="K72" s="4" t="s">
        <v>192</v>
      </c>
      <c r="L72" s="4" t="s">
        <v>193</v>
      </c>
      <c r="M72" s="4" t="s">
        <v>191</v>
      </c>
      <c r="N72" s="4"/>
      <c r="O72" s="4" t="s">
        <v>540</v>
      </c>
      <c r="P72" s="7" t="s">
        <v>410</v>
      </c>
      <c r="Q72" s="7" t="s">
        <v>409</v>
      </c>
      <c r="R72" s="6">
        <f>(COUNTA(Table1[[#This Row],[Throughput (P)]],Table1[[#This Row],[Cost /Price (c)]],Table1[[#This Row],[Workload (W)]],Table1[[#This Row],[Latency (L)]],Table1[[#This Row],[Cold start (S)]],Table1[[#This Row],[Execution Time (T)]],Table1[[#This Row],[Resouce Allocation]]))</f>
        <v>5</v>
      </c>
    </row>
    <row r="73" spans="1:18" x14ac:dyDescent="0.3">
      <c r="A73" s="13">
        <v>2025</v>
      </c>
      <c r="B73" s="3" t="s">
        <v>466</v>
      </c>
      <c r="C73" s="3" t="s">
        <v>467</v>
      </c>
      <c r="D73" s="3" t="s">
        <v>468</v>
      </c>
      <c r="E73" s="3" t="s">
        <v>6</v>
      </c>
      <c r="F73" s="3" t="s">
        <v>7</v>
      </c>
      <c r="G73" s="84" t="s">
        <v>198</v>
      </c>
      <c r="H73" s="4">
        <v>0</v>
      </c>
      <c r="I73" s="4" t="s">
        <v>190</v>
      </c>
      <c r="J73" s="4"/>
      <c r="K73" s="4"/>
      <c r="L73" s="4" t="s">
        <v>193</v>
      </c>
      <c r="M73" s="4"/>
      <c r="N73" s="4"/>
      <c r="O73" s="4"/>
      <c r="P73" s="7" t="s">
        <v>494</v>
      </c>
      <c r="Q73" s="7" t="s">
        <v>495</v>
      </c>
      <c r="R73" s="6">
        <f>(COUNTA(Table1[[#This Row],[Throughput (P)]],Table1[[#This Row],[Cost /Price (c)]],Table1[[#This Row],[Workload (W)]],Table1[[#This Row],[Latency (L)]],Table1[[#This Row],[Cold start (S)]],Table1[[#This Row],[Execution Time (T)]],Table1[[#This Row],[Resouce Allocation]]))</f>
        <v>2</v>
      </c>
    </row>
    <row r="74" spans="1:18" x14ac:dyDescent="0.3">
      <c r="A74" s="13">
        <v>2025</v>
      </c>
      <c r="B74" s="3" t="s">
        <v>18</v>
      </c>
      <c r="C74" s="3" t="s">
        <v>19</v>
      </c>
      <c r="D74" s="3" t="s">
        <v>20</v>
      </c>
      <c r="E74" s="3" t="s">
        <v>6</v>
      </c>
      <c r="F74" s="3" t="s">
        <v>7</v>
      </c>
      <c r="G74" s="74" t="s">
        <v>411</v>
      </c>
      <c r="H74" s="4">
        <v>0</v>
      </c>
      <c r="I74" s="4"/>
      <c r="J74" s="4" t="s">
        <v>195</v>
      </c>
      <c r="K74" s="4" t="s">
        <v>192</v>
      </c>
      <c r="L74" s="4"/>
      <c r="M74" s="4"/>
      <c r="N74" s="4"/>
      <c r="O74" s="4"/>
      <c r="P74" s="7" t="s">
        <v>412</v>
      </c>
      <c r="Q74" s="7" t="s">
        <v>413</v>
      </c>
      <c r="R74" s="6">
        <f>(COUNTA(Table1[[#This Row],[Throughput (P)]],Table1[[#This Row],[Cost /Price (c)]],Table1[[#This Row],[Workload (W)]],Table1[[#This Row],[Latency (L)]],Table1[[#This Row],[Cold start (S)]],Table1[[#This Row],[Execution Time (T)]],Table1[[#This Row],[Resouce Allocation]]))</f>
        <v>2</v>
      </c>
    </row>
    <row r="75" spans="1:18" x14ac:dyDescent="0.3">
      <c r="A75" s="13">
        <v>2025</v>
      </c>
      <c r="B75" s="3" t="s">
        <v>159</v>
      </c>
      <c r="C75" s="3" t="s">
        <v>160</v>
      </c>
      <c r="D75" s="3" t="s">
        <v>162</v>
      </c>
      <c r="E75" s="3" t="s">
        <v>161</v>
      </c>
      <c r="F75" s="3" t="s">
        <v>154</v>
      </c>
      <c r="G75" s="86" t="s">
        <v>536</v>
      </c>
      <c r="H75" s="4">
        <v>0</v>
      </c>
      <c r="I75" s="4"/>
      <c r="J75" s="4"/>
      <c r="K75" s="4" t="s">
        <v>192</v>
      </c>
      <c r="L75" s="4"/>
      <c r="M75" s="4" t="s">
        <v>191</v>
      </c>
      <c r="N75" s="4"/>
      <c r="O75" s="4" t="s">
        <v>540</v>
      </c>
      <c r="P75" s="7" t="s">
        <v>415</v>
      </c>
      <c r="Q75" s="7" t="s">
        <v>414</v>
      </c>
      <c r="R75" s="6">
        <f>(COUNTA(Table1[[#This Row],[Throughput (P)]],Table1[[#This Row],[Cost /Price (c)]],Table1[[#This Row],[Workload (W)]],Table1[[#This Row],[Latency (L)]],Table1[[#This Row],[Cold start (S)]],Table1[[#This Row],[Execution Time (T)]],Table1[[#This Row],[Resouce Allocation]]))</f>
        <v>3</v>
      </c>
    </row>
    <row r="76" spans="1:18" x14ac:dyDescent="0.3">
      <c r="A76" s="13">
        <v>2025</v>
      </c>
      <c r="B76" s="3" t="s">
        <v>21</v>
      </c>
      <c r="C76" s="3" t="s">
        <v>22</v>
      </c>
      <c r="D76" s="3" t="s">
        <v>23</v>
      </c>
      <c r="E76" s="3" t="s">
        <v>6</v>
      </c>
      <c r="F76" s="3" t="s">
        <v>7</v>
      </c>
      <c r="G76" s="86" t="s">
        <v>357</v>
      </c>
      <c r="H76" s="4">
        <v>0</v>
      </c>
      <c r="I76" s="4"/>
      <c r="J76" s="4" t="s">
        <v>195</v>
      </c>
      <c r="K76" s="4"/>
      <c r="L76" s="4"/>
      <c r="M76" s="4" t="s">
        <v>191</v>
      </c>
      <c r="N76" s="4"/>
      <c r="O76" s="4"/>
      <c r="P76" s="7" t="s">
        <v>416</v>
      </c>
      <c r="Q76" s="7" t="s">
        <v>417</v>
      </c>
      <c r="R76" s="6">
        <f>(COUNTA(Table1[[#This Row],[Throughput (P)]],Table1[[#This Row],[Cost /Price (c)]],Table1[[#This Row],[Workload (W)]],Table1[[#This Row],[Latency (L)]],Table1[[#This Row],[Cold start (S)]],Table1[[#This Row],[Execution Time (T)]],Table1[[#This Row],[Resouce Allocation]]))</f>
        <v>2</v>
      </c>
    </row>
    <row r="77" spans="1:18" x14ac:dyDescent="0.3">
      <c r="A77" s="13">
        <v>2025</v>
      </c>
      <c r="B77" s="3" t="s">
        <v>469</v>
      </c>
      <c r="C77" s="3" t="s">
        <v>470</v>
      </c>
      <c r="D77" s="3" t="s">
        <v>471</v>
      </c>
      <c r="E77" s="3" t="s">
        <v>85</v>
      </c>
      <c r="F77" s="3" t="s">
        <v>86</v>
      </c>
      <c r="G77" s="87" t="s">
        <v>179</v>
      </c>
      <c r="H77" s="4">
        <v>0</v>
      </c>
      <c r="I77" s="4" t="s">
        <v>190</v>
      </c>
      <c r="J77" s="4"/>
      <c r="K77" s="4"/>
      <c r="L77" s="4" t="s">
        <v>193</v>
      </c>
      <c r="M77" s="4"/>
      <c r="N77" s="4"/>
      <c r="O77" s="4"/>
      <c r="P77" s="23" t="s">
        <v>492</v>
      </c>
      <c r="Q77" s="23" t="s">
        <v>493</v>
      </c>
      <c r="R77" s="6">
        <f>(COUNTA(Table1[[#This Row],[Throughput (P)]],Table1[[#This Row],[Cost /Price (c)]],Table1[[#This Row],[Workload (W)]],Table1[[#This Row],[Latency (L)]],Table1[[#This Row],[Cold start (S)]],Table1[[#This Row],[Execution Time (T)]],Table1[[#This Row],[Resouce Allocation]]))</f>
        <v>2</v>
      </c>
    </row>
    <row r="78" spans="1:18" x14ac:dyDescent="0.3">
      <c r="A78" s="13">
        <v>2025</v>
      </c>
      <c r="B78" s="3" t="s">
        <v>218</v>
      </c>
      <c r="C78" s="3" t="s">
        <v>219</v>
      </c>
      <c r="D78" s="3" t="s">
        <v>220</v>
      </c>
      <c r="E78" s="3" t="s">
        <v>6</v>
      </c>
      <c r="F78" s="3" t="s">
        <v>221</v>
      </c>
      <c r="G78" s="86" t="s">
        <v>418</v>
      </c>
      <c r="H78" s="4">
        <v>0</v>
      </c>
      <c r="I78" s="4"/>
      <c r="J78" s="4"/>
      <c r="K78" s="4" t="s">
        <v>192</v>
      </c>
      <c r="L78" s="4"/>
      <c r="M78" s="4" t="s">
        <v>191</v>
      </c>
      <c r="N78" s="4"/>
      <c r="O78" s="4"/>
      <c r="P78" s="7" t="s">
        <v>419</v>
      </c>
      <c r="Q78" s="7" t="s">
        <v>420</v>
      </c>
      <c r="R78" s="6">
        <f>(COUNTA(Table1[[#This Row],[Throughput (P)]],Table1[[#This Row],[Cost /Price (c)]],Table1[[#This Row],[Workload (W)]],Table1[[#This Row],[Latency (L)]],Table1[[#This Row],[Cold start (S)]],Table1[[#This Row],[Execution Time (T)]],Table1[[#This Row],[Resouce Allocation]]))</f>
        <v>2</v>
      </c>
    </row>
    <row r="79" spans="1:18" x14ac:dyDescent="0.3">
      <c r="A79" s="13">
        <v>2025</v>
      </c>
      <c r="B79" s="3" t="s">
        <v>222</v>
      </c>
      <c r="C79" s="3" t="s">
        <v>223</v>
      </c>
      <c r="D79" s="3" t="s">
        <v>224</v>
      </c>
      <c r="E79" s="3" t="s">
        <v>6</v>
      </c>
      <c r="F79" s="3" t="s">
        <v>7</v>
      </c>
      <c r="G79" s="3" t="s">
        <v>421</v>
      </c>
      <c r="H79" s="4">
        <v>0</v>
      </c>
      <c r="I79" s="4" t="s">
        <v>190</v>
      </c>
      <c r="J79" s="4"/>
      <c r="K79" s="4" t="s">
        <v>192</v>
      </c>
      <c r="L79" s="4"/>
      <c r="M79" s="4" t="s">
        <v>191</v>
      </c>
      <c r="N79" s="4"/>
      <c r="O79" s="4"/>
      <c r="P79" s="7" t="s">
        <v>422</v>
      </c>
      <c r="Q79" s="7" t="s">
        <v>423</v>
      </c>
      <c r="R79" s="6">
        <f>(COUNTA(Table1[[#This Row],[Throughput (P)]],Table1[[#This Row],[Cost /Price (c)]],Table1[[#This Row],[Workload (W)]],Table1[[#This Row],[Latency (L)]],Table1[[#This Row],[Cold start (S)]],Table1[[#This Row],[Execution Time (T)]],Table1[[#This Row],[Resouce Allocation]]))</f>
        <v>3</v>
      </c>
    </row>
    <row r="80" spans="1:18" x14ac:dyDescent="0.3">
      <c r="A80" s="13">
        <v>2025</v>
      </c>
      <c r="B80" s="3" t="s">
        <v>225</v>
      </c>
      <c r="C80" s="3" t="s">
        <v>226</v>
      </c>
      <c r="D80" s="3" t="s">
        <v>227</v>
      </c>
      <c r="E80" s="3" t="s">
        <v>6</v>
      </c>
      <c r="F80" s="3" t="s">
        <v>7</v>
      </c>
      <c r="G80" s="88" t="s">
        <v>425</v>
      </c>
      <c r="H80" s="4">
        <v>0</v>
      </c>
      <c r="I80" s="4"/>
      <c r="J80" s="4" t="s">
        <v>195</v>
      </c>
      <c r="K80" s="4" t="s">
        <v>192</v>
      </c>
      <c r="L80" s="4"/>
      <c r="M80" s="4"/>
      <c r="N80" s="4"/>
      <c r="O80" s="4" t="s">
        <v>540</v>
      </c>
      <c r="P80" s="7" t="s">
        <v>424</v>
      </c>
      <c r="Q80" s="7" t="s">
        <v>426</v>
      </c>
      <c r="R80" s="6">
        <f>(COUNTA(Table1[[#This Row],[Throughput (P)]],Table1[[#This Row],[Cost /Price (c)]],Table1[[#This Row],[Workload (W)]],Table1[[#This Row],[Latency (L)]],Table1[[#This Row],[Cold start (S)]],Table1[[#This Row],[Execution Time (T)]],Table1[[#This Row],[Resouce Allocation]]))</f>
        <v>3</v>
      </c>
    </row>
    <row r="81" spans="1:18" x14ac:dyDescent="0.3">
      <c r="A81" s="13">
        <v>2025</v>
      </c>
      <c r="B81" s="3" t="s">
        <v>472</v>
      </c>
      <c r="C81" s="3" t="s">
        <v>473</v>
      </c>
      <c r="D81" s="3" t="s">
        <v>474</v>
      </c>
      <c r="E81" s="3" t="s">
        <v>475</v>
      </c>
      <c r="F81" s="3" t="s">
        <v>102</v>
      </c>
      <c r="G81" s="86" t="s">
        <v>487</v>
      </c>
      <c r="H81" s="4">
        <v>0</v>
      </c>
      <c r="I81" s="4" t="s">
        <v>190</v>
      </c>
      <c r="J81" s="4"/>
      <c r="K81" s="4"/>
      <c r="L81" s="4"/>
      <c r="M81" s="4"/>
      <c r="N81" s="20"/>
      <c r="O81" s="20"/>
      <c r="P81" s="18" t="s">
        <v>489</v>
      </c>
      <c r="Q81" s="18" t="s">
        <v>488</v>
      </c>
      <c r="R81" s="6">
        <f>(COUNTA(Table1[[#This Row],[Throughput (P)]],Table1[[#This Row],[Cost /Price (c)]],Table1[[#This Row],[Workload (W)]],Table1[[#This Row],[Latency (L)]],Table1[[#This Row],[Cold start (S)]],Table1[[#This Row],[Execution Time (T)]],Table1[[#This Row],[Resouce Allocation]]))</f>
        <v>1</v>
      </c>
    </row>
    <row r="82" spans="1:18" ht="12.6" customHeight="1" x14ac:dyDescent="0.3">
      <c r="A82" s="83" t="s">
        <v>534</v>
      </c>
      <c r="B82" s="79"/>
      <c r="C82" s="79"/>
      <c r="D82" s="79"/>
      <c r="E82" s="79"/>
      <c r="F82" s="79"/>
      <c r="G82" s="79"/>
      <c r="H82" s="80"/>
      <c r="I82" s="81">
        <f>(COUNTA(I2:I81))</f>
        <v>24</v>
      </c>
      <c r="J82" s="81">
        <f>(COUNTA(J2:J81))</f>
        <v>16</v>
      </c>
      <c r="K82" s="81">
        <f>(COUNTA(K2:K81))</f>
        <v>46</v>
      </c>
      <c r="L82" s="81">
        <f>(COUNTA(L2:L81))</f>
        <v>20</v>
      </c>
      <c r="M82" s="81">
        <f>(COUNTA(M2:M81))</f>
        <v>36</v>
      </c>
      <c r="N82" s="81">
        <f>(COUNTA(N2:N81))</f>
        <v>5</v>
      </c>
      <c r="O82" s="81">
        <f>(COUNTA(O2:O81))</f>
        <v>10</v>
      </c>
      <c r="P82" s="82"/>
      <c r="Q82" s="82"/>
      <c r="R82" s="81"/>
    </row>
    <row r="87" spans="1:18" ht="14.4" customHeight="1" x14ac:dyDescent="0.3"/>
    <row r="88" spans="1:18" ht="13.8" customHeight="1" x14ac:dyDescent="0.3"/>
    <row r="89" spans="1:18" ht="12" customHeight="1" x14ac:dyDescent="0.3"/>
  </sheetData>
  <conditionalFormatting sqref="R2:R82">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55"/>
  <sheetViews>
    <sheetView zoomScaleNormal="100" workbookViewId="0">
      <selection activeCell="H6" sqref="H6"/>
    </sheetView>
  </sheetViews>
  <sheetFormatPr defaultRowHeight="14.4" x14ac:dyDescent="0.3"/>
  <cols>
    <col min="2" max="2" width="16.21875" customWidth="1"/>
    <col min="3" max="3" width="26.77734375" customWidth="1"/>
    <col min="4" max="4" width="9.77734375" customWidth="1"/>
    <col min="5" max="5" width="17.6640625" customWidth="1"/>
    <col min="6" max="6" width="10.5546875" customWidth="1"/>
    <col min="7" max="7" width="14.5546875" customWidth="1"/>
    <col min="9" max="9" width="11.6640625" customWidth="1"/>
    <col min="10" max="10" width="13.6640625" customWidth="1"/>
    <col min="11" max="11" width="12.109375" customWidth="1"/>
    <col min="12" max="13" width="14.77734375" customWidth="1"/>
    <col min="14" max="14" width="15.88671875" customWidth="1"/>
    <col min="15" max="15" width="24.109375" customWidth="1"/>
    <col min="16" max="16" width="27.109375" customWidth="1"/>
    <col min="17" max="17" width="10.33203125" customWidth="1"/>
    <col min="19" max="19" width="15" style="19" bestFit="1" customWidth="1"/>
    <col min="20" max="20" width="18.21875" style="5" bestFit="1" customWidth="1"/>
    <col min="21" max="21" width="22.109375" style="5" bestFit="1" customWidth="1"/>
    <col min="22" max="22" width="20" style="5" bestFit="1" customWidth="1"/>
    <col min="23" max="23" width="25.21875" style="5" bestFit="1" customWidth="1"/>
    <col min="24" max="24" width="21.33203125" style="5" bestFit="1" customWidth="1"/>
    <col min="25" max="25" width="22.109375" style="5" bestFit="1" customWidth="1"/>
    <col min="26" max="26" width="11.21875" bestFit="1" customWidth="1"/>
    <col min="27" max="27" width="43.5546875" bestFit="1" customWidth="1"/>
    <col min="28" max="28" width="34.109375" bestFit="1" customWidth="1"/>
    <col min="29" max="29" width="32.44140625" bestFit="1" customWidth="1"/>
    <col min="30" max="30" width="19.6640625" bestFit="1" customWidth="1"/>
    <col min="31" max="31" width="35.44140625" bestFit="1" customWidth="1"/>
    <col min="32" max="32" width="52.109375" bestFit="1" customWidth="1"/>
    <col min="33" max="33" width="32.44140625" bestFit="1" customWidth="1"/>
    <col min="34" max="34" width="33.44140625" bestFit="1" customWidth="1"/>
    <col min="35" max="35" width="22.88671875" bestFit="1" customWidth="1"/>
    <col min="36" max="36" width="53" bestFit="1" customWidth="1"/>
    <col min="37" max="37" width="36.5546875" bestFit="1" customWidth="1"/>
    <col min="38" max="38" width="30.109375" bestFit="1" customWidth="1"/>
    <col min="39" max="39" width="58.44140625" bestFit="1" customWidth="1"/>
    <col min="40" max="40" width="48.33203125" bestFit="1" customWidth="1"/>
    <col min="41" max="41" width="17.88671875" bestFit="1" customWidth="1"/>
    <col min="42" max="42" width="25.77734375" bestFit="1" customWidth="1"/>
    <col min="43" max="43" width="37.33203125" bestFit="1" customWidth="1"/>
    <col min="44" max="44" width="34.5546875" bestFit="1" customWidth="1"/>
    <col min="45" max="45" width="86.33203125" bestFit="1" customWidth="1"/>
    <col min="46" max="46" width="25.109375" bestFit="1" customWidth="1"/>
    <col min="47" max="47" width="37.33203125" bestFit="1" customWidth="1"/>
    <col min="48" max="48" width="67.33203125" bestFit="1" customWidth="1"/>
    <col min="49" max="49" width="35.44140625" bestFit="1" customWidth="1"/>
    <col min="50" max="50" width="34.33203125" bestFit="1" customWidth="1"/>
    <col min="51" max="51" width="22.21875" bestFit="1" customWidth="1"/>
    <col min="52" max="52" width="46.21875" bestFit="1" customWidth="1"/>
    <col min="53" max="53" width="25.88671875" bestFit="1" customWidth="1"/>
    <col min="54" max="54" width="76.109375" bestFit="1" customWidth="1"/>
    <col min="55" max="55" width="31.5546875" bestFit="1" customWidth="1"/>
    <col min="56" max="56" width="49.5546875" bestFit="1" customWidth="1"/>
    <col min="57" max="57" width="16.77734375" bestFit="1" customWidth="1"/>
    <col min="58" max="58" width="46.77734375" bestFit="1" customWidth="1"/>
    <col min="59" max="59" width="36.88671875" bestFit="1" customWidth="1"/>
    <col min="60" max="60" width="18" bestFit="1" customWidth="1"/>
    <col min="61" max="61" width="72.33203125" bestFit="1" customWidth="1"/>
    <col min="62" max="62" width="27.44140625" bestFit="1" customWidth="1"/>
    <col min="63" max="63" width="33.33203125" bestFit="1" customWidth="1"/>
    <col min="64" max="64" width="30.5546875" bestFit="1" customWidth="1"/>
    <col min="65" max="65" width="11" bestFit="1" customWidth="1"/>
  </cols>
  <sheetData>
    <row r="1" spans="1:28" x14ac:dyDescent="0.3">
      <c r="A1" s="92" t="s">
        <v>0</v>
      </c>
      <c r="B1" s="93" t="s">
        <v>1</v>
      </c>
      <c r="C1" s="93" t="s">
        <v>2</v>
      </c>
      <c r="D1" s="93" t="s">
        <v>3</v>
      </c>
      <c r="E1" s="93" t="s">
        <v>4</v>
      </c>
      <c r="F1" s="93" t="s">
        <v>5</v>
      </c>
      <c r="G1" s="93" t="s">
        <v>173</v>
      </c>
      <c r="H1" s="93" t="s">
        <v>504</v>
      </c>
      <c r="I1" s="94" t="s">
        <v>439</v>
      </c>
      <c r="J1" s="94" t="s">
        <v>284</v>
      </c>
      <c r="K1" s="94" t="s">
        <v>285</v>
      </c>
      <c r="L1" s="93" t="s">
        <v>286</v>
      </c>
      <c r="M1" s="93" t="s">
        <v>289</v>
      </c>
      <c r="N1" s="93" t="s">
        <v>300</v>
      </c>
      <c r="O1" s="95" t="s">
        <v>174</v>
      </c>
      <c r="P1" s="95" t="s">
        <v>253</v>
      </c>
      <c r="Q1" s="96" t="s">
        <v>252</v>
      </c>
    </row>
    <row r="2" spans="1:28" x14ac:dyDescent="0.3">
      <c r="A2" s="8">
        <v>2020</v>
      </c>
      <c r="B2" s="24" t="s">
        <v>68</v>
      </c>
      <c r="C2" s="24" t="s">
        <v>69</v>
      </c>
      <c r="D2" s="24" t="s">
        <v>70</v>
      </c>
      <c r="E2" s="24" t="s">
        <v>6</v>
      </c>
      <c r="F2" s="24" t="s">
        <v>7</v>
      </c>
      <c r="G2" s="24" t="s">
        <v>283</v>
      </c>
      <c r="H2" s="23">
        <v>0</v>
      </c>
      <c r="I2" s="25"/>
      <c r="J2" s="25"/>
      <c r="K2" s="25" t="s">
        <v>192</v>
      </c>
      <c r="L2" s="31"/>
      <c r="M2" s="31"/>
      <c r="N2" s="31"/>
      <c r="O2" s="23" t="s">
        <v>261</v>
      </c>
      <c r="P2" s="32" t="s">
        <v>260</v>
      </c>
      <c r="Q2" s="35">
        <v>1</v>
      </c>
    </row>
    <row r="3" spans="1:28" ht="15" thickBot="1" x14ac:dyDescent="0.35">
      <c r="A3" s="8">
        <v>2020</v>
      </c>
      <c r="B3" s="3" t="s">
        <v>77</v>
      </c>
      <c r="C3" s="3" t="s">
        <v>80</v>
      </c>
      <c r="D3" s="3" t="s">
        <v>81</v>
      </c>
      <c r="E3" s="3" t="s">
        <v>6</v>
      </c>
      <c r="F3" s="3" t="s">
        <v>7</v>
      </c>
      <c r="G3" s="3" t="s">
        <v>179</v>
      </c>
      <c r="H3" s="3" t="s">
        <v>505</v>
      </c>
      <c r="I3" s="4"/>
      <c r="J3" s="4"/>
      <c r="K3" s="4" t="s">
        <v>192</v>
      </c>
      <c r="L3" s="4"/>
      <c r="M3" s="4"/>
      <c r="N3" s="4"/>
      <c r="O3" s="7" t="s">
        <v>265</v>
      </c>
      <c r="P3" s="7" t="s">
        <v>266</v>
      </c>
      <c r="Q3" s="36">
        <v>1</v>
      </c>
      <c r="S3" s="70" t="s">
        <v>497</v>
      </c>
      <c r="T3" s="7" t="s">
        <v>500</v>
      </c>
      <c r="U3" s="7" t="s">
        <v>517</v>
      </c>
      <c r="V3" s="7" t="s">
        <v>499</v>
      </c>
      <c r="W3" s="7" t="s">
        <v>498</v>
      </c>
      <c r="X3" s="7" t="s">
        <v>501</v>
      </c>
      <c r="Y3" s="7" t="s">
        <v>503</v>
      </c>
    </row>
    <row r="4" spans="1:28" x14ac:dyDescent="0.3">
      <c r="A4" s="8">
        <v>2020</v>
      </c>
      <c r="B4" s="24" t="s">
        <v>77</v>
      </c>
      <c r="C4" s="24" t="s">
        <v>78</v>
      </c>
      <c r="D4" s="24" t="s">
        <v>79</v>
      </c>
      <c r="E4" s="24" t="s">
        <v>6</v>
      </c>
      <c r="F4" s="24" t="s">
        <v>7</v>
      </c>
      <c r="G4" s="33" t="s">
        <v>282</v>
      </c>
      <c r="H4" s="23">
        <v>0</v>
      </c>
      <c r="I4" s="25"/>
      <c r="J4" s="25"/>
      <c r="K4" s="25" t="s">
        <v>192</v>
      </c>
      <c r="L4" s="25"/>
      <c r="M4" s="25"/>
      <c r="N4" s="25"/>
      <c r="O4" s="23" t="s">
        <v>256</v>
      </c>
      <c r="P4" s="23" t="s">
        <v>257</v>
      </c>
      <c r="Q4" s="35">
        <v>1</v>
      </c>
      <c r="S4" s="4">
        <v>2020</v>
      </c>
      <c r="T4" s="4">
        <v>3</v>
      </c>
      <c r="U4" s="4"/>
      <c r="V4" s="4"/>
      <c r="W4" s="4"/>
      <c r="X4" s="4"/>
      <c r="Y4" s="4"/>
      <c r="AA4" s="54">
        <v>1</v>
      </c>
      <c r="AB4" s="54"/>
    </row>
    <row r="5" spans="1:28" x14ac:dyDescent="0.3">
      <c r="A5" s="9">
        <v>2021</v>
      </c>
      <c r="B5" s="3" t="s">
        <v>62</v>
      </c>
      <c r="C5" s="3" t="s">
        <v>63</v>
      </c>
      <c r="D5" s="3" t="s">
        <v>64</v>
      </c>
      <c r="E5" s="3" t="s">
        <v>6</v>
      </c>
      <c r="F5" s="3" t="s">
        <v>7</v>
      </c>
      <c r="G5" s="3" t="s">
        <v>180</v>
      </c>
      <c r="H5" s="3" t="s">
        <v>512</v>
      </c>
      <c r="I5" s="4"/>
      <c r="J5" s="4" t="s">
        <v>195</v>
      </c>
      <c r="K5" s="4" t="s">
        <v>192</v>
      </c>
      <c r="L5" s="4"/>
      <c r="M5" s="4"/>
      <c r="N5" s="4"/>
      <c r="O5" s="7" t="s">
        <v>269</v>
      </c>
      <c r="P5" s="7" t="s">
        <v>270</v>
      </c>
      <c r="Q5" s="36">
        <v>1</v>
      </c>
      <c r="S5" s="4">
        <v>2021</v>
      </c>
      <c r="T5" s="4">
        <v>3</v>
      </c>
      <c r="U5" s="4"/>
      <c r="V5" s="4">
        <v>1</v>
      </c>
      <c r="W5" s="4"/>
      <c r="X5" s="4">
        <v>1</v>
      </c>
      <c r="Y5" s="4"/>
    </row>
    <row r="6" spans="1:28" x14ac:dyDescent="0.3">
      <c r="A6" s="9">
        <v>2021</v>
      </c>
      <c r="B6" s="24" t="s">
        <v>110</v>
      </c>
      <c r="C6" s="24" t="s">
        <v>111</v>
      </c>
      <c r="D6" s="24" t="s">
        <v>112</v>
      </c>
      <c r="E6" s="24" t="s">
        <v>101</v>
      </c>
      <c r="F6" s="24" t="s">
        <v>102</v>
      </c>
      <c r="G6" s="24" t="s">
        <v>184</v>
      </c>
      <c r="H6" s="24" t="s">
        <v>507</v>
      </c>
      <c r="I6" s="25"/>
      <c r="J6" s="25"/>
      <c r="K6" s="25" t="s">
        <v>192</v>
      </c>
      <c r="L6" s="25" t="s">
        <v>193</v>
      </c>
      <c r="M6" s="25"/>
      <c r="N6" s="25"/>
      <c r="O6" s="23" t="s">
        <v>188</v>
      </c>
      <c r="P6" s="23" t="s">
        <v>275</v>
      </c>
      <c r="Q6" s="35">
        <v>1</v>
      </c>
      <c r="S6" s="4">
        <v>2022</v>
      </c>
      <c r="T6" s="4">
        <v>6</v>
      </c>
      <c r="U6" s="4">
        <v>2</v>
      </c>
      <c r="V6" s="4"/>
      <c r="W6" s="4">
        <v>1</v>
      </c>
      <c r="X6" s="4">
        <v>1</v>
      </c>
      <c r="Y6" s="4">
        <v>2</v>
      </c>
      <c r="AA6" t="s">
        <v>518</v>
      </c>
      <c r="AB6">
        <v>1.0227272727272727</v>
      </c>
    </row>
    <row r="7" spans="1:28" x14ac:dyDescent="0.3">
      <c r="A7" s="9">
        <v>2021</v>
      </c>
      <c r="B7" s="3" t="s">
        <v>132</v>
      </c>
      <c r="C7" s="3" t="s">
        <v>131</v>
      </c>
      <c r="D7" s="3" t="s">
        <v>133</v>
      </c>
      <c r="E7" s="3" t="s">
        <v>6</v>
      </c>
      <c r="F7" s="3" t="s">
        <v>127</v>
      </c>
      <c r="G7" s="3" t="s">
        <v>182</v>
      </c>
      <c r="H7" s="3" t="s">
        <v>509</v>
      </c>
      <c r="I7" s="4"/>
      <c r="J7" s="4"/>
      <c r="K7" s="4" t="s">
        <v>192</v>
      </c>
      <c r="L7" s="4"/>
      <c r="M7" s="4"/>
      <c r="N7" s="4"/>
      <c r="O7" s="7" t="s">
        <v>183</v>
      </c>
      <c r="P7" s="7" t="s">
        <v>272</v>
      </c>
      <c r="Q7" s="36">
        <v>1</v>
      </c>
      <c r="S7" s="4">
        <v>2023</v>
      </c>
      <c r="T7" s="4">
        <v>8</v>
      </c>
      <c r="U7" s="4"/>
      <c r="V7" s="4">
        <v>2</v>
      </c>
      <c r="W7" s="4">
        <v>2</v>
      </c>
      <c r="X7" s="4"/>
      <c r="Y7" s="4">
        <v>2</v>
      </c>
      <c r="AA7" t="s">
        <v>519</v>
      </c>
      <c r="AB7">
        <v>2.2727272727272721E-2</v>
      </c>
    </row>
    <row r="8" spans="1:28" x14ac:dyDescent="0.3">
      <c r="A8" s="10">
        <v>2022</v>
      </c>
      <c r="B8" s="24" t="s">
        <v>65</v>
      </c>
      <c r="C8" s="24" t="s">
        <v>66</v>
      </c>
      <c r="D8" s="24" t="s">
        <v>67</v>
      </c>
      <c r="E8" s="24" t="s">
        <v>6</v>
      </c>
      <c r="F8" s="24" t="s">
        <v>7</v>
      </c>
      <c r="G8" s="24" t="s">
        <v>302</v>
      </c>
      <c r="H8" s="23">
        <v>0</v>
      </c>
      <c r="I8" s="25" t="s">
        <v>190</v>
      </c>
      <c r="J8" s="25"/>
      <c r="K8" s="25" t="s">
        <v>192</v>
      </c>
      <c r="L8" s="25"/>
      <c r="M8" s="25"/>
      <c r="N8" s="25" t="s">
        <v>301</v>
      </c>
      <c r="O8" s="23" t="s">
        <v>298</v>
      </c>
      <c r="P8" s="23" t="s">
        <v>299</v>
      </c>
      <c r="Q8" s="35">
        <v>1</v>
      </c>
      <c r="S8" s="4">
        <v>2024</v>
      </c>
      <c r="T8" s="4">
        <v>17</v>
      </c>
      <c r="U8" s="4">
        <v>10</v>
      </c>
      <c r="V8" s="4">
        <v>4</v>
      </c>
      <c r="W8" s="4">
        <v>7</v>
      </c>
      <c r="X8" s="4">
        <v>7</v>
      </c>
      <c r="Y8" s="4">
        <v>1</v>
      </c>
      <c r="AA8" t="s">
        <v>520</v>
      </c>
      <c r="AB8">
        <v>1</v>
      </c>
    </row>
    <row r="9" spans="1:28" x14ac:dyDescent="0.3">
      <c r="A9" s="10">
        <v>2022</v>
      </c>
      <c r="B9" s="3" t="s">
        <v>237</v>
      </c>
      <c r="C9" s="3" t="s">
        <v>238</v>
      </c>
      <c r="D9" s="3" t="s">
        <v>239</v>
      </c>
      <c r="E9" s="3" t="s">
        <v>88</v>
      </c>
      <c r="F9" s="3" t="s">
        <v>86</v>
      </c>
      <c r="G9" s="3" t="s">
        <v>303</v>
      </c>
      <c r="H9" s="7">
        <v>0</v>
      </c>
      <c r="I9" s="4"/>
      <c r="J9" s="4"/>
      <c r="K9" s="4" t="s">
        <v>192</v>
      </c>
      <c r="L9" s="4"/>
      <c r="M9" s="4"/>
      <c r="N9" s="4"/>
      <c r="O9" s="7" t="s">
        <v>304</v>
      </c>
      <c r="P9" s="7" t="s">
        <v>305</v>
      </c>
      <c r="Q9" s="36">
        <v>1</v>
      </c>
      <c r="S9" s="4">
        <v>2025</v>
      </c>
      <c r="T9" s="4">
        <v>9</v>
      </c>
      <c r="U9" s="4">
        <v>6</v>
      </c>
      <c r="V9" s="4">
        <v>5</v>
      </c>
      <c r="W9" s="4">
        <v>1</v>
      </c>
      <c r="X9" s="4">
        <v>2</v>
      </c>
      <c r="Y9" s="4"/>
      <c r="AA9" t="s">
        <v>521</v>
      </c>
      <c r="AB9">
        <v>1</v>
      </c>
    </row>
    <row r="10" spans="1:28" x14ac:dyDescent="0.3">
      <c r="A10" s="10">
        <v>2022</v>
      </c>
      <c r="B10" s="24" t="s">
        <v>167</v>
      </c>
      <c r="C10" s="24" t="s">
        <v>168</v>
      </c>
      <c r="D10" s="24" t="s">
        <v>169</v>
      </c>
      <c r="E10" s="24" t="s">
        <v>6</v>
      </c>
      <c r="F10" s="24" t="s">
        <v>163</v>
      </c>
      <c r="G10" s="24" t="s">
        <v>317</v>
      </c>
      <c r="H10" s="23">
        <v>0</v>
      </c>
      <c r="I10" s="25"/>
      <c r="J10" s="25"/>
      <c r="K10" s="25" t="s">
        <v>192</v>
      </c>
      <c r="L10" s="25" t="s">
        <v>193</v>
      </c>
      <c r="M10" s="25" t="s">
        <v>191</v>
      </c>
      <c r="N10" s="25"/>
      <c r="O10" s="23" t="s">
        <v>318</v>
      </c>
      <c r="P10" s="23" t="s">
        <v>316</v>
      </c>
      <c r="Q10" s="35">
        <v>1</v>
      </c>
      <c r="S10" s="7" t="s">
        <v>496</v>
      </c>
      <c r="T10" s="4">
        <v>46</v>
      </c>
      <c r="U10" s="4">
        <v>18</v>
      </c>
      <c r="V10" s="4">
        <v>12</v>
      </c>
      <c r="W10" s="4">
        <v>11</v>
      </c>
      <c r="X10" s="4">
        <v>11</v>
      </c>
      <c r="Y10" s="4">
        <v>5</v>
      </c>
      <c r="AA10" t="s">
        <v>522</v>
      </c>
      <c r="AB10">
        <v>0.15075567228888176</v>
      </c>
    </row>
    <row r="11" spans="1:28" x14ac:dyDescent="0.3">
      <c r="A11" s="10">
        <v>2022</v>
      </c>
      <c r="B11" s="3" t="s">
        <v>231</v>
      </c>
      <c r="C11" s="3" t="s">
        <v>232</v>
      </c>
      <c r="D11" s="3" t="s">
        <v>233</v>
      </c>
      <c r="E11" s="3" t="s">
        <v>6</v>
      </c>
      <c r="F11" s="3" t="s">
        <v>7</v>
      </c>
      <c r="G11" s="3" t="s">
        <v>290</v>
      </c>
      <c r="H11" s="7">
        <v>0</v>
      </c>
      <c r="I11" s="4"/>
      <c r="J11" s="4"/>
      <c r="K11" s="4" t="s">
        <v>192</v>
      </c>
      <c r="L11" s="4"/>
      <c r="M11" s="4"/>
      <c r="N11" s="4"/>
      <c r="O11" s="7" t="s">
        <v>277</v>
      </c>
      <c r="P11" s="7" t="s">
        <v>278</v>
      </c>
      <c r="Q11" s="36">
        <v>1</v>
      </c>
      <c r="S11"/>
      <c r="T11"/>
      <c r="U11"/>
      <c r="V11"/>
      <c r="W11"/>
      <c r="X11"/>
      <c r="Y11"/>
      <c r="AA11" t="s">
        <v>523</v>
      </c>
      <c r="AB11">
        <v>2.2727272727272711E-2</v>
      </c>
    </row>
    <row r="12" spans="1:28" x14ac:dyDescent="0.3">
      <c r="A12" s="10">
        <v>2022</v>
      </c>
      <c r="B12" s="24" t="s">
        <v>117</v>
      </c>
      <c r="C12" s="24" t="s">
        <v>118</v>
      </c>
      <c r="D12" s="24" t="s">
        <v>119</v>
      </c>
      <c r="E12" s="24" t="s">
        <v>120</v>
      </c>
      <c r="F12" s="24" t="s">
        <v>102</v>
      </c>
      <c r="G12" s="24" t="s">
        <v>201</v>
      </c>
      <c r="H12" s="24" t="s">
        <v>515</v>
      </c>
      <c r="I12" s="25"/>
      <c r="J12" s="25"/>
      <c r="K12" s="25" t="s">
        <v>192</v>
      </c>
      <c r="L12" s="25"/>
      <c r="M12" s="25" t="s">
        <v>191</v>
      </c>
      <c r="N12" s="25"/>
      <c r="O12" s="23" t="s">
        <v>189</v>
      </c>
      <c r="P12" s="23" t="s">
        <v>276</v>
      </c>
      <c r="Q12" s="35">
        <v>1</v>
      </c>
      <c r="S12"/>
      <c r="T12"/>
      <c r="U12"/>
      <c r="V12"/>
      <c r="W12"/>
      <c r="X12"/>
      <c r="Y12"/>
      <c r="AA12" t="s">
        <v>524</v>
      </c>
      <c r="AB12">
        <v>44.000000000000036</v>
      </c>
    </row>
    <row r="13" spans="1:28" x14ac:dyDescent="0.3">
      <c r="A13" s="10">
        <v>2022</v>
      </c>
      <c r="B13" s="3" t="s">
        <v>234</v>
      </c>
      <c r="C13" s="3" t="s">
        <v>235</v>
      </c>
      <c r="D13" s="3" t="s">
        <v>236</v>
      </c>
      <c r="E13" s="3" t="s">
        <v>87</v>
      </c>
      <c r="F13" s="3" t="s">
        <v>86</v>
      </c>
      <c r="G13" s="3" t="s">
        <v>294</v>
      </c>
      <c r="H13" s="7">
        <v>0</v>
      </c>
      <c r="I13" s="4"/>
      <c r="J13" s="4"/>
      <c r="K13" s="4" t="s">
        <v>192</v>
      </c>
      <c r="L13" s="4"/>
      <c r="M13" s="4"/>
      <c r="N13" s="4" t="s">
        <v>301</v>
      </c>
      <c r="O13" s="7" t="s">
        <v>292</v>
      </c>
      <c r="P13" s="7" t="s">
        <v>293</v>
      </c>
      <c r="Q13" s="36">
        <v>1</v>
      </c>
      <c r="S13"/>
      <c r="T13"/>
      <c r="U13"/>
      <c r="V13"/>
      <c r="W13"/>
      <c r="X13"/>
      <c r="Y13"/>
      <c r="AA13" t="s">
        <v>525</v>
      </c>
      <c r="AB13">
        <v>6.6332495807108005</v>
      </c>
    </row>
    <row r="14" spans="1:28" x14ac:dyDescent="0.3">
      <c r="A14" s="11">
        <v>2023</v>
      </c>
      <c r="B14" s="24" t="s">
        <v>240</v>
      </c>
      <c r="C14" s="24" t="s">
        <v>241</v>
      </c>
      <c r="D14" s="24" t="s">
        <v>242</v>
      </c>
      <c r="E14" s="24" t="s">
        <v>85</v>
      </c>
      <c r="F14" s="24" t="s">
        <v>86</v>
      </c>
      <c r="G14" s="24" t="s">
        <v>322</v>
      </c>
      <c r="H14" s="23">
        <v>0</v>
      </c>
      <c r="I14" s="25"/>
      <c r="J14" s="25" t="s">
        <v>195</v>
      </c>
      <c r="K14" s="25" t="s">
        <v>192</v>
      </c>
      <c r="L14" s="25"/>
      <c r="M14" s="25"/>
      <c r="N14" s="25"/>
      <c r="O14" s="23" t="s">
        <v>323</v>
      </c>
      <c r="P14" s="23" t="s">
        <v>324</v>
      </c>
      <c r="Q14" s="35">
        <v>1</v>
      </c>
      <c r="S14"/>
      <c r="T14"/>
      <c r="U14"/>
      <c r="V14"/>
      <c r="W14"/>
      <c r="X14"/>
      <c r="Y14"/>
      <c r="AA14" t="s">
        <v>526</v>
      </c>
      <c r="AB14">
        <v>1</v>
      </c>
    </row>
    <row r="15" spans="1:28" x14ac:dyDescent="0.3">
      <c r="A15" s="11">
        <v>2023</v>
      </c>
      <c r="B15" s="3" t="s">
        <v>138</v>
      </c>
      <c r="C15" s="3" t="s">
        <v>137</v>
      </c>
      <c r="D15" s="3" t="s">
        <v>139</v>
      </c>
      <c r="E15" s="3" t="s">
        <v>6</v>
      </c>
      <c r="F15" s="3" t="s">
        <v>127</v>
      </c>
      <c r="G15" s="7" t="s">
        <v>200</v>
      </c>
      <c r="H15" s="7">
        <v>0</v>
      </c>
      <c r="I15" s="4"/>
      <c r="J15" s="4" t="s">
        <v>195</v>
      </c>
      <c r="K15" s="4" t="s">
        <v>192</v>
      </c>
      <c r="L15" s="4"/>
      <c r="M15" s="4"/>
      <c r="N15" s="4" t="s">
        <v>301</v>
      </c>
      <c r="O15" s="7" t="s">
        <v>331</v>
      </c>
      <c r="P15" s="7" t="s">
        <v>332</v>
      </c>
      <c r="Q15" s="36">
        <v>1</v>
      </c>
      <c r="S15"/>
      <c r="T15"/>
      <c r="U15"/>
      <c r="V15"/>
      <c r="W15"/>
      <c r="X15"/>
      <c r="Y15"/>
      <c r="AA15" t="s">
        <v>527</v>
      </c>
      <c r="AB15">
        <v>1</v>
      </c>
    </row>
    <row r="16" spans="1:28" x14ac:dyDescent="0.3">
      <c r="A16" s="11">
        <v>2023</v>
      </c>
      <c r="B16" s="24" t="s">
        <v>444</v>
      </c>
      <c r="C16" s="24" t="s">
        <v>445</v>
      </c>
      <c r="D16" s="24" t="s">
        <v>446</v>
      </c>
      <c r="E16" s="24" t="s">
        <v>6</v>
      </c>
      <c r="F16" s="24" t="s">
        <v>7</v>
      </c>
      <c r="G16" s="24" t="s">
        <v>479</v>
      </c>
      <c r="H16" s="23">
        <v>0</v>
      </c>
      <c r="I16" s="25" t="s">
        <v>190</v>
      </c>
      <c r="J16" s="25"/>
      <c r="K16" s="25" t="s">
        <v>192</v>
      </c>
      <c r="L16" s="25"/>
      <c r="M16" s="25"/>
      <c r="N16" s="25"/>
      <c r="O16" s="23" t="s">
        <v>476</v>
      </c>
      <c r="P16" s="23" t="s">
        <v>477</v>
      </c>
      <c r="Q16" s="35">
        <v>1</v>
      </c>
      <c r="S16"/>
      <c r="T16"/>
      <c r="U16"/>
      <c r="V16"/>
      <c r="W16"/>
      <c r="X16"/>
      <c r="Y16"/>
      <c r="AA16" t="s">
        <v>528</v>
      </c>
      <c r="AB16">
        <v>2</v>
      </c>
    </row>
    <row r="17" spans="1:28" x14ac:dyDescent="0.3">
      <c r="A17" s="11">
        <v>2023</v>
      </c>
      <c r="B17" s="3" t="s">
        <v>47</v>
      </c>
      <c r="C17" s="3" t="s">
        <v>48</v>
      </c>
      <c r="D17" s="3" t="s">
        <v>49</v>
      </c>
      <c r="E17" s="3" t="s">
        <v>6</v>
      </c>
      <c r="F17" s="3" t="s">
        <v>7</v>
      </c>
      <c r="G17" s="3" t="s">
        <v>341</v>
      </c>
      <c r="H17" s="7">
        <v>0</v>
      </c>
      <c r="I17" s="4" t="s">
        <v>190</v>
      </c>
      <c r="J17" s="4"/>
      <c r="K17" s="4" t="s">
        <v>192</v>
      </c>
      <c r="L17" s="4"/>
      <c r="M17" s="4"/>
      <c r="N17" s="4"/>
      <c r="O17" s="7" t="s">
        <v>342</v>
      </c>
      <c r="P17" s="7" t="s">
        <v>343</v>
      </c>
      <c r="Q17" s="36">
        <v>1</v>
      </c>
      <c r="S17"/>
      <c r="T17"/>
      <c r="U17"/>
      <c r="V17"/>
      <c r="W17"/>
      <c r="X17"/>
      <c r="Y17"/>
      <c r="AA17" t="s">
        <v>529</v>
      </c>
      <c r="AB17">
        <v>45</v>
      </c>
    </row>
    <row r="18" spans="1:28" x14ac:dyDescent="0.3">
      <c r="A18" s="11">
        <v>2023</v>
      </c>
      <c r="B18" s="24" t="s">
        <v>95</v>
      </c>
      <c r="C18" s="24" t="s">
        <v>96</v>
      </c>
      <c r="D18" s="24" t="s">
        <v>97</v>
      </c>
      <c r="E18" s="24" t="s">
        <v>87</v>
      </c>
      <c r="F18" s="24" t="s">
        <v>86</v>
      </c>
      <c r="G18" s="24" t="s">
        <v>339</v>
      </c>
      <c r="H18" s="23">
        <v>0</v>
      </c>
      <c r="I18" s="25"/>
      <c r="J18" s="25"/>
      <c r="K18" s="25" t="s">
        <v>192</v>
      </c>
      <c r="L18" s="25"/>
      <c r="M18" s="25"/>
      <c r="N18" s="25" t="s">
        <v>301</v>
      </c>
      <c r="O18" s="23" t="s">
        <v>337</v>
      </c>
      <c r="P18" s="23" t="s">
        <v>338</v>
      </c>
      <c r="Q18" s="35">
        <v>1</v>
      </c>
      <c r="S18"/>
      <c r="T18"/>
      <c r="U18"/>
      <c r="V18"/>
      <c r="W18"/>
      <c r="X18"/>
      <c r="Y18"/>
      <c r="AA18" t="s">
        <v>530</v>
      </c>
      <c r="AB18">
        <v>44</v>
      </c>
    </row>
    <row r="19" spans="1:28" x14ac:dyDescent="0.3">
      <c r="A19" s="11">
        <v>2023</v>
      </c>
      <c r="B19" s="3" t="s">
        <v>243</v>
      </c>
      <c r="C19" s="3" t="s">
        <v>244</v>
      </c>
      <c r="D19" s="3" t="s">
        <v>245</v>
      </c>
      <c r="E19" s="3" t="s">
        <v>6</v>
      </c>
      <c r="F19" s="3" t="s">
        <v>127</v>
      </c>
      <c r="G19" s="3" t="s">
        <v>322</v>
      </c>
      <c r="H19" s="7">
        <v>0</v>
      </c>
      <c r="I19" s="4"/>
      <c r="J19" s="4"/>
      <c r="K19" s="4" t="s">
        <v>192</v>
      </c>
      <c r="L19" s="4"/>
      <c r="M19" s="4"/>
      <c r="N19" s="4"/>
      <c r="O19" s="7" t="s">
        <v>333</v>
      </c>
      <c r="P19" s="7" t="s">
        <v>340</v>
      </c>
      <c r="Q19" s="36">
        <v>1</v>
      </c>
      <c r="S19"/>
      <c r="T19"/>
      <c r="U19"/>
      <c r="V19"/>
      <c r="W19"/>
      <c r="X19"/>
      <c r="Y19"/>
      <c r="AA19" t="s">
        <v>531</v>
      </c>
      <c r="AB19">
        <v>2</v>
      </c>
    </row>
    <row r="20" spans="1:28" x14ac:dyDescent="0.3">
      <c r="A20" s="11">
        <v>2023</v>
      </c>
      <c r="B20" s="24" t="s">
        <v>44</v>
      </c>
      <c r="C20" s="24" t="s">
        <v>45</v>
      </c>
      <c r="D20" s="24" t="s">
        <v>46</v>
      </c>
      <c r="E20" s="24" t="s">
        <v>6</v>
      </c>
      <c r="F20" s="24" t="s">
        <v>7</v>
      </c>
      <c r="G20" s="24" t="s">
        <v>319</v>
      </c>
      <c r="H20" s="23">
        <v>0</v>
      </c>
      <c r="I20" s="25"/>
      <c r="J20" s="25"/>
      <c r="K20" s="25" t="s">
        <v>192</v>
      </c>
      <c r="L20" s="25"/>
      <c r="M20" s="25"/>
      <c r="N20" s="25"/>
      <c r="O20" s="23" t="s">
        <v>321</v>
      </c>
      <c r="P20" s="23" t="s">
        <v>320</v>
      </c>
      <c r="Q20" s="35">
        <v>1</v>
      </c>
      <c r="S20"/>
      <c r="T20"/>
      <c r="U20"/>
      <c r="V20"/>
      <c r="W20"/>
      <c r="X20"/>
      <c r="Y20"/>
      <c r="AA20" t="s">
        <v>532</v>
      </c>
      <c r="AB20">
        <v>1</v>
      </c>
    </row>
    <row r="21" spans="1:28" ht="15" thickBot="1" x14ac:dyDescent="0.35">
      <c r="A21" s="11">
        <v>2023</v>
      </c>
      <c r="B21" s="3" t="s">
        <v>50</v>
      </c>
      <c r="C21" s="3" t="s">
        <v>51</v>
      </c>
      <c r="D21" s="3" t="s">
        <v>52</v>
      </c>
      <c r="E21" s="3" t="s">
        <v>6</v>
      </c>
      <c r="F21" s="3" t="s">
        <v>7</v>
      </c>
      <c r="G21" s="7" t="s">
        <v>335</v>
      </c>
      <c r="H21" s="7">
        <v>0</v>
      </c>
      <c r="I21" s="4"/>
      <c r="J21" s="4"/>
      <c r="K21" s="4" t="s">
        <v>192</v>
      </c>
      <c r="L21" s="4"/>
      <c r="M21" s="4"/>
      <c r="N21" s="4"/>
      <c r="O21" s="7" t="s">
        <v>334</v>
      </c>
      <c r="P21" s="7" t="s">
        <v>336</v>
      </c>
      <c r="Q21" s="36">
        <v>1</v>
      </c>
      <c r="S21"/>
      <c r="T21"/>
      <c r="U21"/>
      <c r="V21"/>
      <c r="W21"/>
      <c r="X21"/>
      <c r="Y21"/>
      <c r="AA21" s="53" t="s">
        <v>533</v>
      </c>
      <c r="AB21" s="53">
        <v>4.5833913618814191E-2</v>
      </c>
    </row>
    <row r="22" spans="1:28" x14ac:dyDescent="0.3">
      <c r="A22" s="12">
        <v>2024</v>
      </c>
      <c r="B22" s="24" t="s">
        <v>434</v>
      </c>
      <c r="C22" s="14" t="s">
        <v>435</v>
      </c>
      <c r="D22" s="24" t="s">
        <v>436</v>
      </c>
      <c r="E22" s="24" t="s">
        <v>433</v>
      </c>
      <c r="F22" s="24" t="s">
        <v>102</v>
      </c>
      <c r="G22" s="24" t="s">
        <v>437</v>
      </c>
      <c r="H22" s="23">
        <v>0</v>
      </c>
      <c r="I22" s="25" t="s">
        <v>190</v>
      </c>
      <c r="J22" s="25" t="s">
        <v>195</v>
      </c>
      <c r="K22" s="25" t="s">
        <v>192</v>
      </c>
      <c r="L22" s="25"/>
      <c r="M22" s="25"/>
      <c r="N22" s="25"/>
      <c r="O22" s="23" t="s">
        <v>406</v>
      </c>
      <c r="P22" s="23"/>
      <c r="Q22" s="35">
        <v>1</v>
      </c>
      <c r="S22"/>
      <c r="T22"/>
      <c r="U22"/>
      <c r="V22"/>
      <c r="W22"/>
      <c r="X22"/>
      <c r="Y22"/>
    </row>
    <row r="23" spans="1:28" x14ac:dyDescent="0.3">
      <c r="A23" s="12">
        <v>2024</v>
      </c>
      <c r="B23" s="3" t="s">
        <v>460</v>
      </c>
      <c r="C23" s="3" t="s">
        <v>461</v>
      </c>
      <c r="D23" s="3" t="s">
        <v>462</v>
      </c>
      <c r="E23" s="3" t="s">
        <v>6</v>
      </c>
      <c r="F23" s="3" t="s">
        <v>7</v>
      </c>
      <c r="G23" s="3" t="s">
        <v>311</v>
      </c>
      <c r="H23" s="7">
        <v>0</v>
      </c>
      <c r="I23" s="4" t="s">
        <v>190</v>
      </c>
      <c r="J23" s="4" t="s">
        <v>195</v>
      </c>
      <c r="K23" s="4" t="s">
        <v>192</v>
      </c>
      <c r="L23" s="4"/>
      <c r="M23" s="4"/>
      <c r="N23" s="4"/>
      <c r="O23" s="7" t="s">
        <v>410</v>
      </c>
      <c r="P23" s="7" t="s">
        <v>490</v>
      </c>
      <c r="Q23" s="36">
        <v>1</v>
      </c>
      <c r="S23"/>
      <c r="T23"/>
      <c r="U23"/>
      <c r="V23"/>
      <c r="W23"/>
      <c r="X23"/>
      <c r="Y23"/>
    </row>
    <row r="24" spans="1:28" x14ac:dyDescent="0.3">
      <c r="A24" s="12">
        <v>2024</v>
      </c>
      <c r="B24" s="24" t="s">
        <v>228</v>
      </c>
      <c r="C24" s="24" t="s">
        <v>229</v>
      </c>
      <c r="D24" s="24" t="s">
        <v>230</v>
      </c>
      <c r="E24" s="24" t="s">
        <v>6</v>
      </c>
      <c r="F24" s="24" t="s">
        <v>7</v>
      </c>
      <c r="G24" s="24" t="s">
        <v>359</v>
      </c>
      <c r="H24" s="23">
        <v>0</v>
      </c>
      <c r="I24" s="25"/>
      <c r="J24" s="25" t="s">
        <v>195</v>
      </c>
      <c r="K24" s="25" t="s">
        <v>192</v>
      </c>
      <c r="L24" s="25"/>
      <c r="M24" s="25"/>
      <c r="N24" s="25"/>
      <c r="O24" s="23" t="s">
        <v>358</v>
      </c>
      <c r="P24" s="23" t="s">
        <v>360</v>
      </c>
      <c r="Q24" s="35">
        <v>1</v>
      </c>
      <c r="S24"/>
      <c r="T24"/>
      <c r="U24"/>
      <c r="V24"/>
      <c r="W24"/>
      <c r="X24"/>
      <c r="Y24"/>
    </row>
    <row r="25" spans="1:28" x14ac:dyDescent="0.3">
      <c r="A25" s="12">
        <v>2024</v>
      </c>
      <c r="B25" s="24" t="s">
        <v>429</v>
      </c>
      <c r="C25" s="24" t="s">
        <v>430</v>
      </c>
      <c r="D25" s="24" t="s">
        <v>438</v>
      </c>
      <c r="E25" s="24" t="s">
        <v>428</v>
      </c>
      <c r="F25" s="24" t="s">
        <v>427</v>
      </c>
      <c r="G25" s="24" t="s">
        <v>282</v>
      </c>
      <c r="H25" s="23">
        <v>0</v>
      </c>
      <c r="I25" s="25"/>
      <c r="J25" s="25" t="s">
        <v>195</v>
      </c>
      <c r="K25" s="25" t="s">
        <v>192</v>
      </c>
      <c r="L25" s="25"/>
      <c r="M25" s="25" t="s">
        <v>191</v>
      </c>
      <c r="N25" s="25"/>
      <c r="O25" s="23" t="s">
        <v>431</v>
      </c>
      <c r="P25" s="23" t="s">
        <v>432</v>
      </c>
      <c r="Q25" s="35">
        <v>1</v>
      </c>
      <c r="S25"/>
      <c r="T25"/>
      <c r="U25"/>
      <c r="V25"/>
      <c r="W25"/>
      <c r="X25"/>
      <c r="Y25"/>
    </row>
    <row r="26" spans="1:28" x14ac:dyDescent="0.3">
      <c r="A26" s="12">
        <v>2024</v>
      </c>
      <c r="B26" s="24" t="s">
        <v>463</v>
      </c>
      <c r="C26" s="24" t="s">
        <v>464</v>
      </c>
      <c r="D26" s="24" t="s">
        <v>465</v>
      </c>
      <c r="E26" s="24" t="s">
        <v>6</v>
      </c>
      <c r="F26" s="24" t="s">
        <v>7</v>
      </c>
      <c r="G26" s="24" t="s">
        <v>378</v>
      </c>
      <c r="H26" s="23">
        <v>0</v>
      </c>
      <c r="I26" s="25" t="s">
        <v>190</v>
      </c>
      <c r="J26" s="25"/>
      <c r="K26" s="25" t="s">
        <v>192</v>
      </c>
      <c r="L26" s="25"/>
      <c r="M26" s="25"/>
      <c r="N26" s="25"/>
      <c r="O26" s="23" t="s">
        <v>410</v>
      </c>
      <c r="P26" s="23" t="s">
        <v>491</v>
      </c>
      <c r="Q26" s="35">
        <v>1</v>
      </c>
      <c r="S26"/>
      <c r="T26"/>
      <c r="U26"/>
      <c r="V26"/>
      <c r="W26"/>
      <c r="X26"/>
      <c r="Y26"/>
    </row>
    <row r="27" spans="1:28" x14ac:dyDescent="0.3">
      <c r="A27" s="12">
        <v>2024</v>
      </c>
      <c r="B27" s="3" t="s">
        <v>453</v>
      </c>
      <c r="C27" s="3" t="s">
        <v>454</v>
      </c>
      <c r="D27" s="3" t="s">
        <v>455</v>
      </c>
      <c r="E27" s="3" t="s">
        <v>6</v>
      </c>
      <c r="F27" s="3" t="s">
        <v>7</v>
      </c>
      <c r="G27" s="3" t="s">
        <v>456</v>
      </c>
      <c r="H27" s="7">
        <v>0</v>
      </c>
      <c r="I27" s="4" t="s">
        <v>190</v>
      </c>
      <c r="J27" s="4"/>
      <c r="K27" s="4" t="s">
        <v>192</v>
      </c>
      <c r="L27" s="4"/>
      <c r="M27" s="4"/>
      <c r="N27" s="4"/>
      <c r="O27" s="7" t="s">
        <v>483</v>
      </c>
      <c r="P27" s="7" t="s">
        <v>484</v>
      </c>
      <c r="Q27" s="36">
        <v>1</v>
      </c>
      <c r="S27"/>
      <c r="T27"/>
      <c r="U27"/>
      <c r="V27"/>
      <c r="W27"/>
      <c r="X27"/>
      <c r="Y27"/>
    </row>
    <row r="28" spans="1:28" x14ac:dyDescent="0.3">
      <c r="A28" s="12">
        <v>2024</v>
      </c>
      <c r="B28" s="24" t="s">
        <v>457</v>
      </c>
      <c r="C28" s="24" t="s">
        <v>458</v>
      </c>
      <c r="D28" s="24" t="s">
        <v>459</v>
      </c>
      <c r="E28" s="24" t="s">
        <v>85</v>
      </c>
      <c r="F28" s="24" t="s">
        <v>86</v>
      </c>
      <c r="G28" s="24" t="s">
        <v>198</v>
      </c>
      <c r="H28" s="23">
        <v>0</v>
      </c>
      <c r="I28" s="25" t="s">
        <v>190</v>
      </c>
      <c r="J28" s="25"/>
      <c r="K28" s="25" t="s">
        <v>192</v>
      </c>
      <c r="L28" s="25" t="s">
        <v>193</v>
      </c>
      <c r="M28" s="25"/>
      <c r="N28" s="25"/>
      <c r="O28" s="23" t="s">
        <v>485</v>
      </c>
      <c r="P28" s="23" t="s">
        <v>486</v>
      </c>
      <c r="Q28" s="35">
        <v>1</v>
      </c>
      <c r="S28"/>
      <c r="T28"/>
      <c r="U28"/>
      <c r="V28"/>
      <c r="W28"/>
      <c r="X28"/>
      <c r="Y28"/>
    </row>
    <row r="29" spans="1:28" x14ac:dyDescent="0.3">
      <c r="A29" s="12">
        <v>2024</v>
      </c>
      <c r="B29" s="3" t="s">
        <v>208</v>
      </c>
      <c r="C29" s="3" t="s">
        <v>209</v>
      </c>
      <c r="D29" s="3" t="s">
        <v>210</v>
      </c>
      <c r="E29" s="3" t="s">
        <v>211</v>
      </c>
      <c r="F29" s="3" t="s">
        <v>102</v>
      </c>
      <c r="G29" s="3" t="s">
        <v>384</v>
      </c>
      <c r="H29" s="7">
        <v>0</v>
      </c>
      <c r="I29" s="4" t="s">
        <v>190</v>
      </c>
      <c r="J29" s="4"/>
      <c r="K29" s="4" t="s">
        <v>192</v>
      </c>
      <c r="L29" s="4" t="s">
        <v>193</v>
      </c>
      <c r="M29" s="4" t="s">
        <v>191</v>
      </c>
      <c r="N29" s="4"/>
      <c r="O29" s="7" t="s">
        <v>383</v>
      </c>
      <c r="P29" s="7" t="s">
        <v>385</v>
      </c>
      <c r="Q29" s="36">
        <v>1</v>
      </c>
      <c r="S29"/>
      <c r="T29"/>
      <c r="U29"/>
      <c r="V29"/>
      <c r="W29"/>
      <c r="X29"/>
      <c r="Y29"/>
    </row>
    <row r="30" spans="1:28" x14ac:dyDescent="0.3">
      <c r="A30" s="12">
        <v>2024</v>
      </c>
      <c r="B30" s="24" t="s">
        <v>212</v>
      </c>
      <c r="C30" s="24" t="s">
        <v>213</v>
      </c>
      <c r="D30" s="24" t="s">
        <v>214</v>
      </c>
      <c r="E30" s="24" t="s">
        <v>6</v>
      </c>
      <c r="F30" s="24" t="s">
        <v>7</v>
      </c>
      <c r="G30" s="24" t="s">
        <v>387</v>
      </c>
      <c r="H30" s="23">
        <v>0</v>
      </c>
      <c r="I30" s="25" t="s">
        <v>190</v>
      </c>
      <c r="J30" s="25"/>
      <c r="K30" s="25" t="s">
        <v>192</v>
      </c>
      <c r="L30" s="25" t="s">
        <v>193</v>
      </c>
      <c r="M30" s="25" t="s">
        <v>191</v>
      </c>
      <c r="N30" s="25"/>
      <c r="O30" s="23" t="s">
        <v>386</v>
      </c>
      <c r="P30" s="23" t="s">
        <v>388</v>
      </c>
      <c r="Q30" s="35">
        <v>1</v>
      </c>
      <c r="S30"/>
      <c r="T30"/>
      <c r="U30"/>
      <c r="V30"/>
      <c r="W30"/>
      <c r="X30"/>
      <c r="Y30"/>
    </row>
    <row r="31" spans="1:28" x14ac:dyDescent="0.3">
      <c r="A31" s="12">
        <v>2024</v>
      </c>
      <c r="B31" s="3" t="s">
        <v>26</v>
      </c>
      <c r="C31" s="3" t="s">
        <v>27</v>
      </c>
      <c r="D31" s="3" t="s">
        <v>28</v>
      </c>
      <c r="E31" s="3" t="s">
        <v>6</v>
      </c>
      <c r="F31" s="3" t="s">
        <v>7</v>
      </c>
      <c r="G31" s="3" t="s">
        <v>361</v>
      </c>
      <c r="H31" s="7">
        <v>0</v>
      </c>
      <c r="I31" s="4"/>
      <c r="J31" s="4"/>
      <c r="K31" s="4" t="s">
        <v>192</v>
      </c>
      <c r="L31" s="4"/>
      <c r="M31" s="4" t="s">
        <v>191</v>
      </c>
      <c r="N31" s="4"/>
      <c r="O31" s="7" t="s">
        <v>362</v>
      </c>
      <c r="P31" s="7" t="s">
        <v>363</v>
      </c>
      <c r="Q31" s="36">
        <v>1</v>
      </c>
      <c r="S31"/>
      <c r="T31"/>
      <c r="U31"/>
      <c r="V31"/>
      <c r="W31"/>
      <c r="X31"/>
      <c r="Y31"/>
    </row>
    <row r="32" spans="1:28" x14ac:dyDescent="0.3">
      <c r="A32" s="12">
        <v>2024</v>
      </c>
      <c r="B32" s="24" t="s">
        <v>202</v>
      </c>
      <c r="C32" s="24" t="s">
        <v>203</v>
      </c>
      <c r="D32" s="24" t="s">
        <v>204</v>
      </c>
      <c r="E32" s="24" t="s">
        <v>6</v>
      </c>
      <c r="F32" s="24" t="s">
        <v>7</v>
      </c>
      <c r="G32" s="24" t="s">
        <v>322</v>
      </c>
      <c r="H32" s="23">
        <v>0</v>
      </c>
      <c r="I32" s="25"/>
      <c r="J32" s="25"/>
      <c r="K32" s="25" t="s">
        <v>192</v>
      </c>
      <c r="L32" s="25" t="s">
        <v>193</v>
      </c>
      <c r="M32" s="25" t="s">
        <v>191</v>
      </c>
      <c r="N32" s="25" t="s">
        <v>301</v>
      </c>
      <c r="O32" s="23" t="s">
        <v>377</v>
      </c>
      <c r="P32" s="23" t="s">
        <v>379</v>
      </c>
      <c r="Q32" s="35">
        <v>1</v>
      </c>
      <c r="S32"/>
      <c r="T32"/>
      <c r="U32"/>
      <c r="V32"/>
      <c r="W32"/>
      <c r="X32"/>
      <c r="Y32"/>
    </row>
    <row r="33" spans="1:25" x14ac:dyDescent="0.3">
      <c r="A33" s="12">
        <v>2024</v>
      </c>
      <c r="B33" s="3" t="s">
        <v>249</v>
      </c>
      <c r="C33" s="3" t="s">
        <v>250</v>
      </c>
      <c r="D33" s="3" t="s">
        <v>251</v>
      </c>
      <c r="E33" s="3" t="s">
        <v>6</v>
      </c>
      <c r="F33" s="3" t="s">
        <v>7</v>
      </c>
      <c r="G33" s="3" t="s">
        <v>311</v>
      </c>
      <c r="H33" s="7">
        <v>0</v>
      </c>
      <c r="I33" s="4"/>
      <c r="J33" s="4"/>
      <c r="K33" s="4" t="s">
        <v>192</v>
      </c>
      <c r="L33" s="4"/>
      <c r="M33" s="4" t="s">
        <v>191</v>
      </c>
      <c r="N33" s="4"/>
      <c r="O33" s="7" t="s">
        <v>398</v>
      </c>
      <c r="P33" s="7" t="s">
        <v>397</v>
      </c>
      <c r="Q33" s="36">
        <v>1</v>
      </c>
      <c r="S33"/>
      <c r="T33"/>
      <c r="U33"/>
      <c r="V33"/>
      <c r="W33"/>
      <c r="X33"/>
      <c r="Y33"/>
    </row>
    <row r="34" spans="1:25" x14ac:dyDescent="0.3">
      <c r="A34" s="12">
        <v>2024</v>
      </c>
      <c r="B34" s="24" t="s">
        <v>32</v>
      </c>
      <c r="C34" s="24" t="s">
        <v>33</v>
      </c>
      <c r="D34" s="24" t="s">
        <v>34</v>
      </c>
      <c r="E34" s="24" t="s">
        <v>6</v>
      </c>
      <c r="F34" s="24" t="s">
        <v>7</v>
      </c>
      <c r="G34" s="24" t="s">
        <v>373</v>
      </c>
      <c r="H34" s="23">
        <v>0</v>
      </c>
      <c r="I34" s="25"/>
      <c r="J34" s="25"/>
      <c r="K34" s="25" t="s">
        <v>192</v>
      </c>
      <c r="L34" s="25" t="s">
        <v>193</v>
      </c>
      <c r="M34" s="25" t="s">
        <v>191</v>
      </c>
      <c r="N34" s="25"/>
      <c r="O34" s="23" t="s">
        <v>372</v>
      </c>
      <c r="P34" s="23" t="s">
        <v>374</v>
      </c>
      <c r="Q34" s="35">
        <v>1</v>
      </c>
      <c r="S34"/>
      <c r="T34"/>
      <c r="U34"/>
      <c r="V34"/>
      <c r="W34"/>
      <c r="X34"/>
      <c r="Y34"/>
    </row>
    <row r="35" spans="1:25" x14ac:dyDescent="0.3">
      <c r="A35" s="12">
        <v>2024</v>
      </c>
      <c r="B35" s="3" t="s">
        <v>170</v>
      </c>
      <c r="C35" s="3" t="s">
        <v>171</v>
      </c>
      <c r="D35" s="3" t="s">
        <v>172</v>
      </c>
      <c r="E35" s="3" t="s">
        <v>6</v>
      </c>
      <c r="F35" s="3" t="s">
        <v>163</v>
      </c>
      <c r="G35" s="3" t="s">
        <v>351</v>
      </c>
      <c r="H35" s="7">
        <v>0</v>
      </c>
      <c r="I35" s="4"/>
      <c r="J35" s="4"/>
      <c r="K35" s="4" t="s">
        <v>192</v>
      </c>
      <c r="L35" s="4"/>
      <c r="M35" s="4" t="s">
        <v>191</v>
      </c>
      <c r="N35" s="4"/>
      <c r="O35" s="7" t="s">
        <v>352</v>
      </c>
      <c r="P35" s="7" t="s">
        <v>353</v>
      </c>
      <c r="Q35" s="36">
        <v>1</v>
      </c>
      <c r="S35"/>
      <c r="T35"/>
      <c r="U35"/>
      <c r="V35"/>
      <c r="W35"/>
      <c r="X35"/>
      <c r="Y35"/>
    </row>
    <row r="36" spans="1:25" x14ac:dyDescent="0.3">
      <c r="A36" s="12">
        <v>2024</v>
      </c>
      <c r="B36" s="24" t="s">
        <v>29</v>
      </c>
      <c r="C36" s="24" t="s">
        <v>30</v>
      </c>
      <c r="D36" s="24" t="s">
        <v>31</v>
      </c>
      <c r="E36" s="24" t="s">
        <v>6</v>
      </c>
      <c r="F36" s="24" t="s">
        <v>7</v>
      </c>
      <c r="G36" s="24" t="s">
        <v>366</v>
      </c>
      <c r="H36" s="23">
        <v>0</v>
      </c>
      <c r="I36" s="25"/>
      <c r="J36" s="25"/>
      <c r="K36" s="25" t="s">
        <v>192</v>
      </c>
      <c r="L36" s="25" t="s">
        <v>193</v>
      </c>
      <c r="M36" s="25" t="s">
        <v>191</v>
      </c>
      <c r="N36" s="25"/>
      <c r="O36" s="23" t="s">
        <v>367</v>
      </c>
      <c r="P36" s="23" t="s">
        <v>368</v>
      </c>
      <c r="Q36" s="35">
        <v>1</v>
      </c>
      <c r="S36"/>
      <c r="T36"/>
      <c r="U36"/>
      <c r="V36"/>
      <c r="W36"/>
      <c r="X36"/>
      <c r="Y36"/>
    </row>
    <row r="37" spans="1:25" x14ac:dyDescent="0.3">
      <c r="A37" s="12">
        <v>2024</v>
      </c>
      <c r="B37" s="3" t="s">
        <v>38</v>
      </c>
      <c r="C37" s="3" t="s">
        <v>39</v>
      </c>
      <c r="D37" s="3" t="s">
        <v>40</v>
      </c>
      <c r="E37" s="3" t="s">
        <v>6</v>
      </c>
      <c r="F37" s="3" t="s">
        <v>7</v>
      </c>
      <c r="G37" s="3" t="s">
        <v>369</v>
      </c>
      <c r="H37" s="7">
        <v>0</v>
      </c>
      <c r="I37" s="4"/>
      <c r="J37" s="4"/>
      <c r="K37" s="22" t="s">
        <v>192</v>
      </c>
      <c r="L37" s="4" t="s">
        <v>193</v>
      </c>
      <c r="M37" s="4" t="s">
        <v>191</v>
      </c>
      <c r="N37" s="4"/>
      <c r="O37" s="7" t="s">
        <v>370</v>
      </c>
      <c r="P37" s="7" t="s">
        <v>371</v>
      </c>
      <c r="Q37" s="36">
        <v>1</v>
      </c>
      <c r="S37"/>
      <c r="T37"/>
      <c r="U37"/>
      <c r="V37"/>
      <c r="W37"/>
      <c r="X37"/>
      <c r="Y37"/>
    </row>
    <row r="38" spans="1:25" x14ac:dyDescent="0.3">
      <c r="A38" s="12">
        <v>2024</v>
      </c>
      <c r="B38" s="24" t="s">
        <v>205</v>
      </c>
      <c r="C38" s="24" t="s">
        <v>206</v>
      </c>
      <c r="D38" s="24" t="s">
        <v>207</v>
      </c>
      <c r="E38" s="24" t="s">
        <v>6</v>
      </c>
      <c r="F38" s="24" t="s">
        <v>7</v>
      </c>
      <c r="G38" s="24" t="s">
        <v>382</v>
      </c>
      <c r="H38" s="23">
        <v>0</v>
      </c>
      <c r="I38" s="25"/>
      <c r="J38" s="25"/>
      <c r="K38" s="25" t="s">
        <v>192</v>
      </c>
      <c r="L38" s="25"/>
      <c r="M38" s="25"/>
      <c r="N38" s="25"/>
      <c r="O38" s="23" t="s">
        <v>380</v>
      </c>
      <c r="P38" s="23" t="s">
        <v>381</v>
      </c>
      <c r="Q38" s="35">
        <v>1</v>
      </c>
      <c r="S38"/>
      <c r="T38"/>
      <c r="U38"/>
      <c r="V38"/>
      <c r="W38"/>
      <c r="X38"/>
      <c r="Y38"/>
    </row>
    <row r="39" spans="1:25" x14ac:dyDescent="0.3">
      <c r="A39" s="13">
        <v>2025</v>
      </c>
      <c r="B39" s="3" t="s">
        <v>225</v>
      </c>
      <c r="C39" s="3" t="s">
        <v>226</v>
      </c>
      <c r="D39" s="3" t="s">
        <v>227</v>
      </c>
      <c r="E39" s="3" t="s">
        <v>6</v>
      </c>
      <c r="F39" s="3" t="s">
        <v>7</v>
      </c>
      <c r="G39" s="3" t="s">
        <v>425</v>
      </c>
      <c r="H39" s="7">
        <v>0</v>
      </c>
      <c r="I39" s="4"/>
      <c r="J39" s="4" t="s">
        <v>195</v>
      </c>
      <c r="K39" s="4" t="s">
        <v>192</v>
      </c>
      <c r="L39" s="4"/>
      <c r="M39" s="4"/>
      <c r="N39" s="4"/>
      <c r="O39" s="7" t="s">
        <v>424</v>
      </c>
      <c r="P39" s="7" t="s">
        <v>426</v>
      </c>
      <c r="Q39" s="36">
        <v>1</v>
      </c>
      <c r="S39"/>
      <c r="T39"/>
      <c r="U39"/>
      <c r="V39"/>
      <c r="W39"/>
      <c r="X39"/>
      <c r="Y39"/>
    </row>
    <row r="40" spans="1:25" x14ac:dyDescent="0.3">
      <c r="A40" s="13">
        <v>2025</v>
      </c>
      <c r="B40" s="24" t="s">
        <v>15</v>
      </c>
      <c r="C40" s="24" t="s">
        <v>16</v>
      </c>
      <c r="D40" s="24" t="s">
        <v>17</v>
      </c>
      <c r="E40" s="24" t="s">
        <v>6</v>
      </c>
      <c r="F40" s="24" t="s">
        <v>7</v>
      </c>
      <c r="G40" s="24" t="s">
        <v>198</v>
      </c>
      <c r="H40" s="23">
        <v>0</v>
      </c>
      <c r="I40" s="25"/>
      <c r="J40" s="25" t="s">
        <v>195</v>
      </c>
      <c r="K40" s="25" t="s">
        <v>192</v>
      </c>
      <c r="L40" s="25" t="s">
        <v>193</v>
      </c>
      <c r="M40" s="25" t="s">
        <v>191</v>
      </c>
      <c r="N40" s="25"/>
      <c r="O40" s="23" t="s">
        <v>410</v>
      </c>
      <c r="P40" s="23" t="s">
        <v>409</v>
      </c>
      <c r="Q40" s="35">
        <v>1</v>
      </c>
      <c r="S40"/>
      <c r="T40"/>
      <c r="U40"/>
      <c r="V40"/>
      <c r="W40"/>
      <c r="X40"/>
      <c r="Y40"/>
    </row>
    <row r="41" spans="1:25" x14ac:dyDescent="0.3">
      <c r="A41" s="13">
        <v>2025</v>
      </c>
      <c r="B41" s="3" t="s">
        <v>18</v>
      </c>
      <c r="C41" s="3" t="s">
        <v>19</v>
      </c>
      <c r="D41" s="3" t="s">
        <v>20</v>
      </c>
      <c r="E41" s="3" t="s">
        <v>6</v>
      </c>
      <c r="F41" s="3" t="s">
        <v>7</v>
      </c>
      <c r="G41" s="3" t="s">
        <v>411</v>
      </c>
      <c r="H41" s="7">
        <v>0</v>
      </c>
      <c r="I41" s="4"/>
      <c r="J41" s="4" t="s">
        <v>195</v>
      </c>
      <c r="K41" s="4" t="s">
        <v>192</v>
      </c>
      <c r="L41" s="4"/>
      <c r="M41" s="4"/>
      <c r="N41" s="4"/>
      <c r="O41" s="7" t="s">
        <v>412</v>
      </c>
      <c r="P41" s="7" t="s">
        <v>413</v>
      </c>
      <c r="Q41" s="36">
        <v>1</v>
      </c>
      <c r="S41"/>
      <c r="T41"/>
      <c r="U41"/>
      <c r="V41"/>
      <c r="W41"/>
      <c r="X41"/>
      <c r="Y41"/>
    </row>
    <row r="42" spans="1:25" x14ac:dyDescent="0.3">
      <c r="A42" s="13">
        <v>2025</v>
      </c>
      <c r="B42" s="24" t="s">
        <v>11</v>
      </c>
      <c r="C42" s="24" t="s">
        <v>12</v>
      </c>
      <c r="D42" s="24" t="s">
        <v>13</v>
      </c>
      <c r="E42" s="24" t="s">
        <v>6</v>
      </c>
      <c r="F42" s="24" t="s">
        <v>7</v>
      </c>
      <c r="G42" s="24" t="s">
        <v>196</v>
      </c>
      <c r="H42" s="23">
        <v>0</v>
      </c>
      <c r="I42" s="25"/>
      <c r="J42" s="25" t="s">
        <v>195</v>
      </c>
      <c r="K42" s="25" t="s">
        <v>192</v>
      </c>
      <c r="L42" s="25"/>
      <c r="M42" s="25"/>
      <c r="N42" s="25"/>
      <c r="O42" s="23" t="s">
        <v>404</v>
      </c>
      <c r="P42" s="23" t="s">
        <v>405</v>
      </c>
      <c r="Q42" s="35">
        <v>1</v>
      </c>
      <c r="S42"/>
      <c r="T42"/>
      <c r="U42"/>
      <c r="V42"/>
      <c r="W42"/>
      <c r="X42"/>
      <c r="Y42"/>
    </row>
    <row r="43" spans="1:25" x14ac:dyDescent="0.3">
      <c r="A43" s="13">
        <v>2025</v>
      </c>
      <c r="B43" s="3" t="s">
        <v>8</v>
      </c>
      <c r="C43" s="3" t="s">
        <v>9</v>
      </c>
      <c r="D43" s="3" t="s">
        <v>10</v>
      </c>
      <c r="E43" s="3" t="s">
        <v>6</v>
      </c>
      <c r="F43" s="3" t="s">
        <v>7</v>
      </c>
      <c r="G43" s="3" t="s">
        <v>196</v>
      </c>
      <c r="H43" s="7">
        <v>0</v>
      </c>
      <c r="I43" s="4"/>
      <c r="J43" s="4" t="s">
        <v>195</v>
      </c>
      <c r="K43" s="4" t="s">
        <v>192</v>
      </c>
      <c r="L43" s="4" t="s">
        <v>193</v>
      </c>
      <c r="M43" s="4" t="s">
        <v>191</v>
      </c>
      <c r="N43" s="4"/>
      <c r="O43" s="7" t="s">
        <v>399</v>
      </c>
      <c r="P43" s="7" t="s">
        <v>400</v>
      </c>
      <c r="Q43" s="36">
        <v>1</v>
      </c>
      <c r="S43"/>
      <c r="T43"/>
      <c r="U43"/>
      <c r="V43"/>
      <c r="W43"/>
      <c r="X43"/>
      <c r="Y43"/>
    </row>
    <row r="44" spans="1:25" x14ac:dyDescent="0.3">
      <c r="A44" s="13">
        <v>2025</v>
      </c>
      <c r="B44" s="24" t="s">
        <v>222</v>
      </c>
      <c r="C44" s="24" t="s">
        <v>223</v>
      </c>
      <c r="D44" s="24" t="s">
        <v>224</v>
      </c>
      <c r="E44" s="24" t="s">
        <v>6</v>
      </c>
      <c r="F44" s="24" t="s">
        <v>7</v>
      </c>
      <c r="G44" s="24" t="s">
        <v>421</v>
      </c>
      <c r="H44" s="23">
        <v>0</v>
      </c>
      <c r="I44" s="25" t="s">
        <v>190</v>
      </c>
      <c r="J44" s="25"/>
      <c r="K44" s="25" t="s">
        <v>192</v>
      </c>
      <c r="L44" s="25"/>
      <c r="M44" s="25" t="s">
        <v>191</v>
      </c>
      <c r="N44" s="25"/>
      <c r="O44" s="23" t="s">
        <v>422</v>
      </c>
      <c r="P44" s="23" t="s">
        <v>423</v>
      </c>
      <c r="Q44" s="35">
        <v>1</v>
      </c>
      <c r="S44"/>
      <c r="T44"/>
      <c r="U44"/>
      <c r="V44"/>
      <c r="W44"/>
      <c r="X44"/>
      <c r="Y44"/>
    </row>
    <row r="45" spans="1:25" x14ac:dyDescent="0.3">
      <c r="A45" s="13">
        <v>2025</v>
      </c>
      <c r="B45" s="3" t="s">
        <v>218</v>
      </c>
      <c r="C45" s="3" t="s">
        <v>219</v>
      </c>
      <c r="D45" s="3" t="s">
        <v>220</v>
      </c>
      <c r="E45" s="3" t="s">
        <v>6</v>
      </c>
      <c r="F45" s="3" t="s">
        <v>221</v>
      </c>
      <c r="G45" s="3" t="s">
        <v>418</v>
      </c>
      <c r="H45" s="7">
        <v>0</v>
      </c>
      <c r="I45" s="4"/>
      <c r="J45" s="4"/>
      <c r="K45" s="4" t="s">
        <v>192</v>
      </c>
      <c r="L45" s="4"/>
      <c r="M45" s="4" t="s">
        <v>191</v>
      </c>
      <c r="N45" s="4"/>
      <c r="O45" s="7" t="s">
        <v>419</v>
      </c>
      <c r="P45" s="7" t="s">
        <v>420</v>
      </c>
      <c r="Q45" s="36">
        <v>1</v>
      </c>
      <c r="S45"/>
      <c r="T45"/>
      <c r="U45"/>
      <c r="V45"/>
      <c r="W45"/>
      <c r="X45"/>
      <c r="Y45"/>
    </row>
    <row r="46" spans="1:25" x14ac:dyDescent="0.3">
      <c r="A46" s="13">
        <v>2025</v>
      </c>
      <c r="B46" s="24" t="s">
        <v>152</v>
      </c>
      <c r="C46" s="24" t="s">
        <v>151</v>
      </c>
      <c r="D46" s="24" t="s">
        <v>153</v>
      </c>
      <c r="E46" s="24" t="s">
        <v>6</v>
      </c>
      <c r="F46" s="24" t="s">
        <v>127</v>
      </c>
      <c r="G46" s="24" t="s">
        <v>401</v>
      </c>
      <c r="H46" s="23">
        <v>0</v>
      </c>
      <c r="I46" s="25"/>
      <c r="J46" s="25"/>
      <c r="K46" s="25" t="s">
        <v>192</v>
      </c>
      <c r="L46" s="25"/>
      <c r="M46" s="25" t="s">
        <v>191</v>
      </c>
      <c r="N46" s="25"/>
      <c r="O46" s="23" t="s">
        <v>402</v>
      </c>
      <c r="P46" s="23" t="s">
        <v>403</v>
      </c>
      <c r="Q46" s="35">
        <v>1</v>
      </c>
      <c r="S46"/>
      <c r="T46"/>
      <c r="U46"/>
      <c r="V46"/>
      <c r="W46"/>
      <c r="X46"/>
      <c r="Y46"/>
    </row>
    <row r="47" spans="1:25" x14ac:dyDescent="0.3">
      <c r="A47" s="42">
        <v>2025</v>
      </c>
      <c r="B47" s="43" t="s">
        <v>159</v>
      </c>
      <c r="C47" s="43" t="s">
        <v>160</v>
      </c>
      <c r="D47" s="43" t="s">
        <v>162</v>
      </c>
      <c r="E47" s="43" t="s">
        <v>161</v>
      </c>
      <c r="F47" s="43" t="s">
        <v>154</v>
      </c>
      <c r="G47" s="43" t="s">
        <v>198</v>
      </c>
      <c r="H47" s="18">
        <v>0</v>
      </c>
      <c r="I47" s="20"/>
      <c r="J47" s="20"/>
      <c r="K47" s="20" t="s">
        <v>192</v>
      </c>
      <c r="L47" s="20"/>
      <c r="M47" s="20" t="s">
        <v>191</v>
      </c>
      <c r="N47" s="20"/>
      <c r="O47" s="18" t="s">
        <v>415</v>
      </c>
      <c r="P47" s="18" t="s">
        <v>414</v>
      </c>
      <c r="Q47" s="44">
        <v>1</v>
      </c>
      <c r="S47"/>
      <c r="T47"/>
      <c r="U47"/>
      <c r="V47"/>
      <c r="W47"/>
      <c r="X47"/>
      <c r="Y47"/>
    </row>
    <row r="48" spans="1:25" x14ac:dyDescent="0.3">
      <c r="S48"/>
      <c r="T48"/>
      <c r="U48"/>
      <c r="V48"/>
      <c r="W48"/>
      <c r="X48"/>
      <c r="Y48"/>
    </row>
    <row r="49" customFormat="1" x14ac:dyDescent="0.3"/>
    <row r="50" customFormat="1" x14ac:dyDescent="0.3"/>
    <row r="51" customFormat="1" x14ac:dyDescent="0.3"/>
    <row r="52" customFormat="1" x14ac:dyDescent="0.3"/>
    <row r="53" customFormat="1" x14ac:dyDescent="0.3"/>
    <row r="54" customFormat="1" x14ac:dyDescent="0.3"/>
    <row r="55" customFormat="1" x14ac:dyDescent="0.3"/>
  </sheetData>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37"/>
  <sheetViews>
    <sheetView workbookViewId="0">
      <selection activeCell="A2" sqref="A2"/>
    </sheetView>
  </sheetViews>
  <sheetFormatPr defaultRowHeight="14.4" x14ac:dyDescent="0.3"/>
  <cols>
    <col min="2" max="2" width="9.77734375" customWidth="1"/>
    <col min="4" max="4" width="10" customWidth="1"/>
    <col min="5" max="5" width="17.77734375" customWidth="1"/>
    <col min="6" max="6" width="11.109375" customWidth="1"/>
    <col min="7" max="7" width="9.21875" customWidth="1"/>
    <col min="8" max="8" width="9" customWidth="1"/>
    <col min="9" max="9" width="18.88671875" customWidth="1"/>
    <col min="10" max="10" width="13.88671875" customWidth="1"/>
    <col min="11" max="11" width="12.109375" customWidth="1"/>
    <col min="12" max="12" width="15.109375" customWidth="1"/>
    <col min="13" max="13" width="14.88671875" customWidth="1"/>
    <col min="14" max="14" width="15.88671875" customWidth="1"/>
    <col min="15" max="15" width="19.77734375" customWidth="1"/>
    <col min="16" max="16" width="27.21875" customWidth="1"/>
    <col min="17" max="17" width="10.5546875" customWidth="1"/>
    <col min="20" max="20" width="12.77734375" bestFit="1" customWidth="1"/>
    <col min="21" max="21" width="13.88671875" customWidth="1"/>
    <col min="22" max="22" width="11.44140625" customWidth="1"/>
    <col min="23" max="23" width="12.6640625" customWidth="1"/>
    <col min="24" max="24" width="15.6640625" customWidth="1"/>
    <col min="25" max="25" width="15" customWidth="1"/>
    <col min="26" max="26" width="22.109375" customWidth="1"/>
    <col min="27" max="27" width="11" bestFit="1" customWidth="1"/>
  </cols>
  <sheetData>
    <row r="1" spans="1:26" x14ac:dyDescent="0.3">
      <c r="A1" s="37" t="s">
        <v>0</v>
      </c>
      <c r="B1" s="38" t="s">
        <v>1</v>
      </c>
      <c r="C1" s="38" t="s">
        <v>2</v>
      </c>
      <c r="D1" s="38" t="s">
        <v>3</v>
      </c>
      <c r="E1" s="38" t="s">
        <v>4</v>
      </c>
      <c r="F1" s="38" t="s">
        <v>5</v>
      </c>
      <c r="G1" s="38" t="s">
        <v>173</v>
      </c>
      <c r="H1" s="38" t="s">
        <v>504</v>
      </c>
      <c r="I1" s="39" t="s">
        <v>439</v>
      </c>
      <c r="J1" s="39" t="s">
        <v>284</v>
      </c>
      <c r="K1" s="39" t="s">
        <v>285</v>
      </c>
      <c r="L1" s="38" t="s">
        <v>286</v>
      </c>
      <c r="M1" s="38" t="s">
        <v>289</v>
      </c>
      <c r="N1" s="38" t="s">
        <v>300</v>
      </c>
      <c r="O1" s="40" t="s">
        <v>174</v>
      </c>
      <c r="P1" s="40" t="s">
        <v>253</v>
      </c>
      <c r="Q1" s="41" t="s">
        <v>252</v>
      </c>
    </row>
    <row r="2" spans="1:26" x14ac:dyDescent="0.3">
      <c r="A2" s="8">
        <v>2020</v>
      </c>
      <c r="B2" s="24" t="s">
        <v>155</v>
      </c>
      <c r="C2" s="24" t="s">
        <v>156</v>
      </c>
      <c r="D2" s="24" t="s">
        <v>158</v>
      </c>
      <c r="E2" s="24" t="s">
        <v>157</v>
      </c>
      <c r="F2" s="24" t="s">
        <v>154</v>
      </c>
      <c r="G2" s="24" t="s">
        <v>281</v>
      </c>
      <c r="H2" s="23">
        <v>0</v>
      </c>
      <c r="I2" s="25"/>
      <c r="J2" s="25"/>
      <c r="K2" s="25"/>
      <c r="L2" s="31"/>
      <c r="M2" s="31" t="s">
        <v>191</v>
      </c>
      <c r="N2" s="31"/>
      <c r="O2" s="23" t="s">
        <v>255</v>
      </c>
      <c r="P2" s="32" t="s">
        <v>254</v>
      </c>
      <c r="Q2" s="35">
        <v>1</v>
      </c>
    </row>
    <row r="3" spans="1:26" x14ac:dyDescent="0.3">
      <c r="A3" s="9">
        <v>2021</v>
      </c>
      <c r="B3" s="3" t="s">
        <v>113</v>
      </c>
      <c r="C3" s="3" t="s">
        <v>114</v>
      </c>
      <c r="D3" s="3" t="s">
        <v>115</v>
      </c>
      <c r="E3" s="3" t="s">
        <v>116</v>
      </c>
      <c r="F3" s="3" t="s">
        <v>102</v>
      </c>
      <c r="G3" s="3" t="s">
        <v>197</v>
      </c>
      <c r="H3" s="3" t="s">
        <v>510</v>
      </c>
      <c r="I3" s="4"/>
      <c r="J3" s="4"/>
      <c r="K3" s="4"/>
      <c r="L3" s="4"/>
      <c r="M3" s="4" t="s">
        <v>191</v>
      </c>
      <c r="N3" s="4"/>
      <c r="O3" s="7" t="s">
        <v>268</v>
      </c>
      <c r="P3" s="7" t="s">
        <v>267</v>
      </c>
      <c r="Q3" s="36">
        <v>1</v>
      </c>
      <c r="T3" s="29" t="s">
        <v>497</v>
      </c>
      <c r="U3" s="3" t="s">
        <v>502</v>
      </c>
      <c r="V3" s="3" t="s">
        <v>500</v>
      </c>
      <c r="W3" s="3" t="s">
        <v>501</v>
      </c>
      <c r="X3" s="3" t="s">
        <v>498</v>
      </c>
      <c r="Y3" s="3" t="s">
        <v>499</v>
      </c>
      <c r="Z3" s="3" t="s">
        <v>503</v>
      </c>
    </row>
    <row r="4" spans="1:26" x14ac:dyDescent="0.3">
      <c r="A4" s="9">
        <v>2021</v>
      </c>
      <c r="B4" s="24" t="s">
        <v>106</v>
      </c>
      <c r="C4" s="24" t="s">
        <v>107</v>
      </c>
      <c r="D4" s="24" t="s">
        <v>108</v>
      </c>
      <c r="E4" s="24" t="s">
        <v>109</v>
      </c>
      <c r="F4" s="24" t="s">
        <v>102</v>
      </c>
      <c r="G4" s="33" t="s">
        <v>186</v>
      </c>
      <c r="H4" s="24" t="s">
        <v>514</v>
      </c>
      <c r="I4" s="25"/>
      <c r="J4" s="25"/>
      <c r="K4" s="25"/>
      <c r="L4" s="25"/>
      <c r="M4" s="25" t="s">
        <v>191</v>
      </c>
      <c r="N4" s="25"/>
      <c r="O4" s="23" t="s">
        <v>187</v>
      </c>
      <c r="P4" s="23" t="s">
        <v>274</v>
      </c>
      <c r="Q4" s="35">
        <v>1</v>
      </c>
      <c r="T4" s="7">
        <v>2020</v>
      </c>
      <c r="U4" s="3">
        <v>1</v>
      </c>
      <c r="V4" s="3"/>
      <c r="W4" s="3"/>
      <c r="X4" s="3"/>
      <c r="Y4" s="3"/>
      <c r="Z4" s="3"/>
    </row>
    <row r="5" spans="1:26" x14ac:dyDescent="0.3">
      <c r="A5" s="9">
        <v>2021</v>
      </c>
      <c r="B5" s="3" t="s">
        <v>129</v>
      </c>
      <c r="C5" s="3" t="s">
        <v>128</v>
      </c>
      <c r="D5" s="3" t="s">
        <v>130</v>
      </c>
      <c r="E5" s="3" t="s">
        <v>6</v>
      </c>
      <c r="F5" s="3" t="s">
        <v>127</v>
      </c>
      <c r="G5" s="3" t="s">
        <v>288</v>
      </c>
      <c r="H5" s="3" t="s">
        <v>508</v>
      </c>
      <c r="I5" s="4"/>
      <c r="J5" s="4"/>
      <c r="K5" s="4"/>
      <c r="L5" s="4"/>
      <c r="M5" s="4" t="s">
        <v>191</v>
      </c>
      <c r="N5" s="4"/>
      <c r="O5" s="7" t="s">
        <v>181</v>
      </c>
      <c r="P5" s="7" t="s">
        <v>271</v>
      </c>
      <c r="Q5" s="36">
        <v>1</v>
      </c>
      <c r="T5" s="7">
        <v>2021</v>
      </c>
      <c r="U5" s="3">
        <v>3</v>
      </c>
      <c r="V5" s="3"/>
      <c r="W5" s="3"/>
      <c r="X5" s="3"/>
      <c r="Y5" s="3"/>
      <c r="Z5" s="3"/>
    </row>
    <row r="6" spans="1:26" x14ac:dyDescent="0.3">
      <c r="A6" s="10">
        <v>2022</v>
      </c>
      <c r="B6" s="24" t="s">
        <v>167</v>
      </c>
      <c r="C6" s="24" t="s">
        <v>168</v>
      </c>
      <c r="D6" s="24" t="s">
        <v>169</v>
      </c>
      <c r="E6" s="24" t="s">
        <v>6</v>
      </c>
      <c r="F6" s="24" t="s">
        <v>163</v>
      </c>
      <c r="G6" s="24" t="s">
        <v>317</v>
      </c>
      <c r="H6" s="23">
        <v>0</v>
      </c>
      <c r="I6" s="25"/>
      <c r="J6" s="25"/>
      <c r="K6" s="25" t="s">
        <v>192</v>
      </c>
      <c r="L6" s="25" t="s">
        <v>193</v>
      </c>
      <c r="M6" s="25" t="s">
        <v>191</v>
      </c>
      <c r="N6" s="25"/>
      <c r="O6" s="23" t="s">
        <v>318</v>
      </c>
      <c r="P6" s="23" t="s">
        <v>316</v>
      </c>
      <c r="Q6" s="35">
        <v>1</v>
      </c>
      <c r="T6" s="7">
        <v>2022</v>
      </c>
      <c r="U6" s="3">
        <v>7</v>
      </c>
      <c r="V6" s="3">
        <v>2</v>
      </c>
      <c r="W6" s="3">
        <v>1</v>
      </c>
      <c r="X6" s="3"/>
      <c r="Y6" s="3"/>
      <c r="Z6" s="3"/>
    </row>
    <row r="7" spans="1:26" x14ac:dyDescent="0.3">
      <c r="A7" s="10">
        <v>2022</v>
      </c>
      <c r="B7" s="3" t="s">
        <v>117</v>
      </c>
      <c r="C7" s="3" t="s">
        <v>118</v>
      </c>
      <c r="D7" s="3" t="s">
        <v>119</v>
      </c>
      <c r="E7" s="3" t="s">
        <v>120</v>
      </c>
      <c r="F7" s="3" t="s">
        <v>102</v>
      </c>
      <c r="G7" s="3" t="s">
        <v>201</v>
      </c>
      <c r="H7" s="3" t="s">
        <v>515</v>
      </c>
      <c r="I7" s="4"/>
      <c r="J7" s="4"/>
      <c r="K7" s="4" t="s">
        <v>192</v>
      </c>
      <c r="L7" s="4"/>
      <c r="M7" s="4" t="s">
        <v>191</v>
      </c>
      <c r="N7" s="4"/>
      <c r="O7" s="7" t="s">
        <v>189</v>
      </c>
      <c r="P7" s="7" t="s">
        <v>276</v>
      </c>
      <c r="Q7" s="36">
        <v>1</v>
      </c>
      <c r="T7" s="7">
        <v>2023</v>
      </c>
      <c r="U7" s="3">
        <v>4</v>
      </c>
      <c r="V7" s="3"/>
      <c r="W7" s="3">
        <v>1</v>
      </c>
      <c r="X7" s="3">
        <v>1</v>
      </c>
      <c r="Y7" s="3"/>
      <c r="Z7" s="3"/>
    </row>
    <row r="8" spans="1:26" x14ac:dyDescent="0.3">
      <c r="A8" s="10">
        <v>2022</v>
      </c>
      <c r="B8" s="24" t="s">
        <v>89</v>
      </c>
      <c r="C8" s="24" t="s">
        <v>90</v>
      </c>
      <c r="D8" s="24" t="s">
        <v>91</v>
      </c>
      <c r="E8" s="24" t="s">
        <v>88</v>
      </c>
      <c r="F8" s="24" t="s">
        <v>86</v>
      </c>
      <c r="G8" s="24" t="s">
        <v>296</v>
      </c>
      <c r="H8" s="23">
        <v>0</v>
      </c>
      <c r="I8" s="25"/>
      <c r="J8" s="25"/>
      <c r="K8" s="25"/>
      <c r="L8" s="25"/>
      <c r="M8" s="25" t="s">
        <v>191</v>
      </c>
      <c r="N8" s="25"/>
      <c r="O8" s="23" t="s">
        <v>295</v>
      </c>
      <c r="P8" s="23" t="s">
        <v>297</v>
      </c>
      <c r="Q8" s="35">
        <v>1</v>
      </c>
      <c r="T8" s="7">
        <v>2024</v>
      </c>
      <c r="U8" s="3">
        <v>14</v>
      </c>
      <c r="V8" s="3">
        <v>10</v>
      </c>
      <c r="W8" s="3">
        <v>6</v>
      </c>
      <c r="X8" s="3">
        <v>4</v>
      </c>
      <c r="Y8" s="3">
        <v>1</v>
      </c>
      <c r="Z8" s="3">
        <v>1</v>
      </c>
    </row>
    <row r="9" spans="1:26" x14ac:dyDescent="0.3">
      <c r="A9" s="10">
        <v>2022</v>
      </c>
      <c r="B9" s="3" t="s">
        <v>56</v>
      </c>
      <c r="C9" s="3" t="s">
        <v>57</v>
      </c>
      <c r="D9" s="3" t="s">
        <v>58</v>
      </c>
      <c r="E9" s="3" t="s">
        <v>6</v>
      </c>
      <c r="F9" s="3" t="s">
        <v>7</v>
      </c>
      <c r="G9" s="3" t="s">
        <v>311</v>
      </c>
      <c r="H9" s="7">
        <v>0</v>
      </c>
      <c r="I9" s="4"/>
      <c r="J9" s="4"/>
      <c r="K9" s="4"/>
      <c r="L9" s="4"/>
      <c r="M9" s="4" t="s">
        <v>191</v>
      </c>
      <c r="N9" s="4"/>
      <c r="O9" s="7" t="s">
        <v>309</v>
      </c>
      <c r="P9" s="7" t="s">
        <v>310</v>
      </c>
      <c r="Q9" s="36">
        <v>1</v>
      </c>
      <c r="T9" s="7">
        <v>2025</v>
      </c>
      <c r="U9" s="3">
        <v>7</v>
      </c>
      <c r="V9" s="3">
        <v>6</v>
      </c>
      <c r="W9" s="3">
        <v>2</v>
      </c>
      <c r="X9" s="3">
        <v>1</v>
      </c>
      <c r="Y9" s="3">
        <v>3</v>
      </c>
      <c r="Z9" s="3"/>
    </row>
    <row r="10" spans="1:26" x14ac:dyDescent="0.3">
      <c r="A10" s="10">
        <v>2022</v>
      </c>
      <c r="B10" s="24" t="s">
        <v>164</v>
      </c>
      <c r="C10" s="24" t="s">
        <v>165</v>
      </c>
      <c r="D10" s="24" t="s">
        <v>166</v>
      </c>
      <c r="E10" s="24" t="s">
        <v>6</v>
      </c>
      <c r="F10" s="24" t="s">
        <v>163</v>
      </c>
      <c r="G10" s="24" t="s">
        <v>307</v>
      </c>
      <c r="H10" s="23">
        <v>0</v>
      </c>
      <c r="I10" s="25"/>
      <c r="J10" s="25"/>
      <c r="K10" s="28"/>
      <c r="L10" s="25"/>
      <c r="M10" s="25" t="s">
        <v>191</v>
      </c>
      <c r="N10" s="25"/>
      <c r="O10" s="23" t="s">
        <v>306</v>
      </c>
      <c r="P10" s="23" t="s">
        <v>308</v>
      </c>
      <c r="Q10" s="35">
        <v>1</v>
      </c>
      <c r="T10" s="7" t="s">
        <v>496</v>
      </c>
      <c r="U10" s="3">
        <v>36</v>
      </c>
      <c r="V10" s="3">
        <v>18</v>
      </c>
      <c r="W10" s="3">
        <v>10</v>
      </c>
      <c r="X10" s="3">
        <v>6</v>
      </c>
      <c r="Y10" s="3">
        <v>4</v>
      </c>
      <c r="Z10" s="3">
        <v>1</v>
      </c>
    </row>
    <row r="11" spans="1:26" x14ac:dyDescent="0.3">
      <c r="A11" s="10">
        <v>2022</v>
      </c>
      <c r="B11" s="3" t="s">
        <v>135</v>
      </c>
      <c r="C11" s="3" t="s">
        <v>134</v>
      </c>
      <c r="D11" s="3" t="s">
        <v>136</v>
      </c>
      <c r="E11" s="3" t="s">
        <v>6</v>
      </c>
      <c r="F11" s="3" t="s">
        <v>127</v>
      </c>
      <c r="G11" s="3" t="s">
        <v>291</v>
      </c>
      <c r="H11" s="7">
        <v>0</v>
      </c>
      <c r="I11" s="4"/>
      <c r="J11" s="4"/>
      <c r="K11" s="4"/>
      <c r="L11" s="4"/>
      <c r="M11" s="4" t="s">
        <v>191</v>
      </c>
      <c r="N11" s="4"/>
      <c r="O11" s="7" t="s">
        <v>279</v>
      </c>
      <c r="P11" s="7" t="s">
        <v>280</v>
      </c>
      <c r="Q11" s="36">
        <v>1</v>
      </c>
    </row>
    <row r="12" spans="1:26" x14ac:dyDescent="0.3">
      <c r="A12" s="10">
        <v>2022</v>
      </c>
      <c r="B12" s="24" t="s">
        <v>59</v>
      </c>
      <c r="C12" s="24" t="s">
        <v>60</v>
      </c>
      <c r="D12" s="24" t="s">
        <v>61</v>
      </c>
      <c r="E12" s="24" t="s">
        <v>6</v>
      </c>
      <c r="F12" s="24" t="s">
        <v>7</v>
      </c>
      <c r="G12" s="24" t="s">
        <v>313</v>
      </c>
      <c r="H12" s="23">
        <v>0</v>
      </c>
      <c r="I12" s="25"/>
      <c r="J12" s="25"/>
      <c r="K12" s="25"/>
      <c r="L12" s="25"/>
      <c r="M12" s="25" t="s">
        <v>191</v>
      </c>
      <c r="N12" s="25"/>
      <c r="O12" s="23" t="s">
        <v>314</v>
      </c>
      <c r="P12" s="23" t="s">
        <v>315</v>
      </c>
      <c r="Q12" s="35">
        <v>1</v>
      </c>
    </row>
    <row r="13" spans="1:26" x14ac:dyDescent="0.3">
      <c r="A13" s="11">
        <v>2023</v>
      </c>
      <c r="B13" s="3" t="s">
        <v>92</v>
      </c>
      <c r="C13" s="3" t="s">
        <v>93</v>
      </c>
      <c r="D13" s="3" t="s">
        <v>94</v>
      </c>
      <c r="E13" s="3" t="s">
        <v>85</v>
      </c>
      <c r="F13" s="3" t="s">
        <v>86</v>
      </c>
      <c r="G13" s="3" t="s">
        <v>344</v>
      </c>
      <c r="H13" s="7">
        <v>0</v>
      </c>
      <c r="I13" s="4"/>
      <c r="J13" s="4"/>
      <c r="K13" s="4"/>
      <c r="L13" s="4" t="s">
        <v>193</v>
      </c>
      <c r="M13" s="4" t="s">
        <v>191</v>
      </c>
      <c r="N13" s="4"/>
      <c r="O13" s="7" t="s">
        <v>345</v>
      </c>
      <c r="P13" s="7" t="s">
        <v>346</v>
      </c>
      <c r="Q13" s="36">
        <v>1</v>
      </c>
    </row>
    <row r="14" spans="1:26" x14ac:dyDescent="0.3">
      <c r="A14" s="11">
        <v>2023</v>
      </c>
      <c r="B14" s="24" t="s">
        <v>141</v>
      </c>
      <c r="C14" s="24" t="s">
        <v>140</v>
      </c>
      <c r="D14" s="24" t="s">
        <v>327</v>
      </c>
      <c r="E14" s="24" t="s">
        <v>6</v>
      </c>
      <c r="F14" s="24" t="s">
        <v>127</v>
      </c>
      <c r="G14" s="24" t="s">
        <v>326</v>
      </c>
      <c r="H14" s="23">
        <v>0</v>
      </c>
      <c r="I14" s="25" t="s">
        <v>190</v>
      </c>
      <c r="J14" s="25"/>
      <c r="K14" s="25"/>
      <c r="L14" s="25"/>
      <c r="M14" s="25" t="s">
        <v>191</v>
      </c>
      <c r="N14" s="25"/>
      <c r="O14" s="23" t="s">
        <v>325</v>
      </c>
      <c r="P14" s="23" t="s">
        <v>328</v>
      </c>
      <c r="Q14" s="35">
        <v>1</v>
      </c>
    </row>
    <row r="15" spans="1:26" x14ac:dyDescent="0.3">
      <c r="A15" s="11">
        <v>2023</v>
      </c>
      <c r="B15" s="3" t="s">
        <v>41</v>
      </c>
      <c r="C15" s="3" t="s">
        <v>42</v>
      </c>
      <c r="D15" s="3" t="s">
        <v>43</v>
      </c>
      <c r="E15" s="3" t="s">
        <v>6</v>
      </c>
      <c r="F15" s="3" t="s">
        <v>7</v>
      </c>
      <c r="G15" s="3" t="s">
        <v>347</v>
      </c>
      <c r="H15" s="7">
        <v>0</v>
      </c>
      <c r="I15" s="4"/>
      <c r="J15" s="4"/>
      <c r="K15" s="4"/>
      <c r="L15" s="4"/>
      <c r="M15" s="4" t="s">
        <v>191</v>
      </c>
      <c r="N15" s="4"/>
      <c r="O15" s="7" t="s">
        <v>348</v>
      </c>
      <c r="P15" s="7" t="s">
        <v>349</v>
      </c>
      <c r="Q15" s="36">
        <v>1</v>
      </c>
    </row>
    <row r="16" spans="1:26" x14ac:dyDescent="0.3">
      <c r="A16" s="11">
        <v>2023</v>
      </c>
      <c r="B16" s="24" t="s">
        <v>121</v>
      </c>
      <c r="C16" s="24" t="s">
        <v>122</v>
      </c>
      <c r="D16" s="24" t="s">
        <v>123</v>
      </c>
      <c r="E16" s="24" t="s">
        <v>101</v>
      </c>
      <c r="F16" s="24" t="s">
        <v>102</v>
      </c>
      <c r="G16" s="24" t="s">
        <v>196</v>
      </c>
      <c r="H16" s="23">
        <v>0</v>
      </c>
      <c r="I16" s="25"/>
      <c r="J16" s="25"/>
      <c r="K16" s="25"/>
      <c r="L16" s="25"/>
      <c r="M16" s="25" t="s">
        <v>191</v>
      </c>
      <c r="N16" s="25"/>
      <c r="O16" s="23" t="s">
        <v>329</v>
      </c>
      <c r="P16" s="23" t="s">
        <v>330</v>
      </c>
      <c r="Q16" s="35">
        <v>1</v>
      </c>
    </row>
    <row r="17" spans="1:17" x14ac:dyDescent="0.3">
      <c r="A17" s="12">
        <v>2024</v>
      </c>
      <c r="B17" s="3" t="s">
        <v>208</v>
      </c>
      <c r="C17" s="3" t="s">
        <v>209</v>
      </c>
      <c r="D17" s="3" t="s">
        <v>210</v>
      </c>
      <c r="E17" s="3" t="s">
        <v>211</v>
      </c>
      <c r="F17" s="3" t="s">
        <v>102</v>
      </c>
      <c r="G17" s="3" t="s">
        <v>384</v>
      </c>
      <c r="H17" s="7">
        <v>0</v>
      </c>
      <c r="I17" s="4" t="s">
        <v>190</v>
      </c>
      <c r="J17" s="4"/>
      <c r="K17" s="4" t="s">
        <v>192</v>
      </c>
      <c r="L17" s="4" t="s">
        <v>193</v>
      </c>
      <c r="M17" s="4" t="s">
        <v>191</v>
      </c>
      <c r="N17" s="4"/>
      <c r="O17" s="7" t="s">
        <v>383</v>
      </c>
      <c r="P17" s="7" t="s">
        <v>385</v>
      </c>
      <c r="Q17" s="36">
        <v>1</v>
      </c>
    </row>
    <row r="18" spans="1:17" x14ac:dyDescent="0.3">
      <c r="A18" s="12">
        <v>2024</v>
      </c>
      <c r="B18" s="24" t="s">
        <v>212</v>
      </c>
      <c r="C18" s="24" t="s">
        <v>213</v>
      </c>
      <c r="D18" s="24" t="s">
        <v>214</v>
      </c>
      <c r="E18" s="24" t="s">
        <v>6</v>
      </c>
      <c r="F18" s="24" t="s">
        <v>7</v>
      </c>
      <c r="G18" s="24" t="s">
        <v>387</v>
      </c>
      <c r="H18" s="23">
        <v>0</v>
      </c>
      <c r="I18" s="25" t="s">
        <v>190</v>
      </c>
      <c r="J18" s="25"/>
      <c r="K18" s="25" t="s">
        <v>192</v>
      </c>
      <c r="L18" s="25" t="s">
        <v>193</v>
      </c>
      <c r="M18" s="25" t="s">
        <v>191</v>
      </c>
      <c r="N18" s="25"/>
      <c r="O18" s="23" t="s">
        <v>386</v>
      </c>
      <c r="P18" s="23" t="s">
        <v>388</v>
      </c>
      <c r="Q18" s="35">
        <v>1</v>
      </c>
    </row>
    <row r="19" spans="1:17" x14ac:dyDescent="0.3">
      <c r="A19" s="12">
        <v>2024</v>
      </c>
      <c r="B19" s="3" t="s">
        <v>202</v>
      </c>
      <c r="C19" s="3" t="s">
        <v>203</v>
      </c>
      <c r="D19" s="3" t="s">
        <v>204</v>
      </c>
      <c r="E19" s="3" t="s">
        <v>6</v>
      </c>
      <c r="F19" s="3" t="s">
        <v>7</v>
      </c>
      <c r="G19" s="3" t="s">
        <v>322</v>
      </c>
      <c r="H19" s="7">
        <v>0</v>
      </c>
      <c r="I19" s="4"/>
      <c r="J19" s="4"/>
      <c r="K19" s="4" t="s">
        <v>192</v>
      </c>
      <c r="L19" s="4" t="s">
        <v>193</v>
      </c>
      <c r="M19" s="4" t="s">
        <v>191</v>
      </c>
      <c r="N19" s="4" t="s">
        <v>301</v>
      </c>
      <c r="O19" s="7" t="s">
        <v>377</v>
      </c>
      <c r="P19" s="7" t="s">
        <v>379</v>
      </c>
      <c r="Q19" s="36">
        <v>1</v>
      </c>
    </row>
    <row r="20" spans="1:17" x14ac:dyDescent="0.3">
      <c r="A20" s="12">
        <v>2024</v>
      </c>
      <c r="B20" s="24" t="s">
        <v>32</v>
      </c>
      <c r="C20" s="24" t="s">
        <v>33</v>
      </c>
      <c r="D20" s="24" t="s">
        <v>34</v>
      </c>
      <c r="E20" s="24" t="s">
        <v>6</v>
      </c>
      <c r="F20" s="24" t="s">
        <v>7</v>
      </c>
      <c r="G20" s="24" t="s">
        <v>373</v>
      </c>
      <c r="H20" s="23">
        <v>0</v>
      </c>
      <c r="I20" s="25"/>
      <c r="J20" s="25"/>
      <c r="K20" s="25" t="s">
        <v>192</v>
      </c>
      <c r="L20" s="25" t="s">
        <v>193</v>
      </c>
      <c r="M20" s="25" t="s">
        <v>191</v>
      </c>
      <c r="N20" s="25"/>
      <c r="O20" s="23" t="s">
        <v>372</v>
      </c>
      <c r="P20" s="23" t="s">
        <v>374</v>
      </c>
      <c r="Q20" s="35">
        <v>1</v>
      </c>
    </row>
    <row r="21" spans="1:17" x14ac:dyDescent="0.3">
      <c r="A21" s="12">
        <v>2024</v>
      </c>
      <c r="B21" s="3" t="s">
        <v>29</v>
      </c>
      <c r="C21" s="3" t="s">
        <v>30</v>
      </c>
      <c r="D21" s="3" t="s">
        <v>31</v>
      </c>
      <c r="E21" s="3" t="s">
        <v>6</v>
      </c>
      <c r="F21" s="3" t="s">
        <v>7</v>
      </c>
      <c r="G21" s="3" t="s">
        <v>366</v>
      </c>
      <c r="H21" s="7">
        <v>0</v>
      </c>
      <c r="I21" s="4"/>
      <c r="J21" s="4"/>
      <c r="K21" s="4" t="s">
        <v>192</v>
      </c>
      <c r="L21" s="4" t="s">
        <v>193</v>
      </c>
      <c r="M21" s="4" t="s">
        <v>191</v>
      </c>
      <c r="N21" s="4"/>
      <c r="O21" s="7" t="s">
        <v>367</v>
      </c>
      <c r="P21" s="7" t="s">
        <v>368</v>
      </c>
      <c r="Q21" s="36">
        <v>1</v>
      </c>
    </row>
    <row r="22" spans="1:17" x14ac:dyDescent="0.3">
      <c r="A22" s="12">
        <v>2024</v>
      </c>
      <c r="B22" s="24" t="s">
        <v>38</v>
      </c>
      <c r="C22" s="24" t="s">
        <v>39</v>
      </c>
      <c r="D22" s="24" t="s">
        <v>40</v>
      </c>
      <c r="E22" s="24" t="s">
        <v>6</v>
      </c>
      <c r="F22" s="24" t="s">
        <v>7</v>
      </c>
      <c r="G22" s="24" t="s">
        <v>369</v>
      </c>
      <c r="H22" s="23">
        <v>0</v>
      </c>
      <c r="I22" s="25"/>
      <c r="J22" s="25"/>
      <c r="K22" s="27" t="s">
        <v>192</v>
      </c>
      <c r="L22" s="25" t="s">
        <v>193</v>
      </c>
      <c r="M22" s="25" t="s">
        <v>191</v>
      </c>
      <c r="N22" s="25"/>
      <c r="O22" s="23" t="s">
        <v>370</v>
      </c>
      <c r="P22" s="23" t="s">
        <v>371</v>
      </c>
      <c r="Q22" s="35">
        <v>1</v>
      </c>
    </row>
    <row r="23" spans="1:17" x14ac:dyDescent="0.3">
      <c r="A23" s="12">
        <v>2024</v>
      </c>
      <c r="B23" s="24" t="s">
        <v>429</v>
      </c>
      <c r="C23" s="24" t="s">
        <v>430</v>
      </c>
      <c r="D23" s="24" t="s">
        <v>438</v>
      </c>
      <c r="E23" s="24" t="s">
        <v>428</v>
      </c>
      <c r="F23" s="24" t="s">
        <v>427</v>
      </c>
      <c r="G23" s="24" t="s">
        <v>282</v>
      </c>
      <c r="H23" s="23">
        <v>0</v>
      </c>
      <c r="I23" s="25"/>
      <c r="J23" s="25" t="s">
        <v>195</v>
      </c>
      <c r="K23" s="25" t="s">
        <v>192</v>
      </c>
      <c r="L23" s="25"/>
      <c r="M23" s="25" t="s">
        <v>191</v>
      </c>
      <c r="N23" s="25"/>
      <c r="O23" s="23" t="s">
        <v>431</v>
      </c>
      <c r="P23" s="23" t="s">
        <v>432</v>
      </c>
      <c r="Q23" s="35">
        <v>1</v>
      </c>
    </row>
    <row r="24" spans="1:17" x14ac:dyDescent="0.3">
      <c r="A24" s="12">
        <v>2024</v>
      </c>
      <c r="B24" s="24" t="s">
        <v>26</v>
      </c>
      <c r="C24" s="24" t="s">
        <v>27</v>
      </c>
      <c r="D24" s="24" t="s">
        <v>28</v>
      </c>
      <c r="E24" s="24" t="s">
        <v>6</v>
      </c>
      <c r="F24" s="24" t="s">
        <v>7</v>
      </c>
      <c r="G24" s="24" t="s">
        <v>361</v>
      </c>
      <c r="H24" s="23">
        <v>0</v>
      </c>
      <c r="I24" s="25"/>
      <c r="J24" s="25"/>
      <c r="K24" s="25" t="s">
        <v>192</v>
      </c>
      <c r="L24" s="25"/>
      <c r="M24" s="25" t="s">
        <v>191</v>
      </c>
      <c r="N24" s="25"/>
      <c r="O24" s="23" t="s">
        <v>362</v>
      </c>
      <c r="P24" s="23" t="s">
        <v>363</v>
      </c>
      <c r="Q24" s="35">
        <v>1</v>
      </c>
    </row>
    <row r="25" spans="1:17" x14ac:dyDescent="0.3">
      <c r="A25" s="12">
        <v>2024</v>
      </c>
      <c r="B25" s="3" t="s">
        <v>249</v>
      </c>
      <c r="C25" s="3" t="s">
        <v>250</v>
      </c>
      <c r="D25" s="3" t="s">
        <v>251</v>
      </c>
      <c r="E25" s="3" t="s">
        <v>6</v>
      </c>
      <c r="F25" s="3" t="s">
        <v>7</v>
      </c>
      <c r="G25" s="3" t="s">
        <v>311</v>
      </c>
      <c r="H25" s="7">
        <v>0</v>
      </c>
      <c r="I25" s="4"/>
      <c r="J25" s="4"/>
      <c r="K25" s="4" t="s">
        <v>192</v>
      </c>
      <c r="L25" s="4"/>
      <c r="M25" s="4" t="s">
        <v>191</v>
      </c>
      <c r="N25" s="4"/>
      <c r="O25" s="7" t="s">
        <v>398</v>
      </c>
      <c r="P25" s="7" t="s">
        <v>397</v>
      </c>
      <c r="Q25" s="36">
        <v>1</v>
      </c>
    </row>
    <row r="26" spans="1:17" x14ac:dyDescent="0.3">
      <c r="A26" s="12">
        <v>2024</v>
      </c>
      <c r="B26" s="24" t="s">
        <v>170</v>
      </c>
      <c r="C26" s="24" t="s">
        <v>171</v>
      </c>
      <c r="D26" s="24" t="s">
        <v>172</v>
      </c>
      <c r="E26" s="24" t="s">
        <v>6</v>
      </c>
      <c r="F26" s="24" t="s">
        <v>163</v>
      </c>
      <c r="G26" s="24" t="s">
        <v>351</v>
      </c>
      <c r="H26" s="23">
        <v>0</v>
      </c>
      <c r="I26" s="25"/>
      <c r="J26" s="25"/>
      <c r="K26" s="25" t="s">
        <v>192</v>
      </c>
      <c r="L26" s="25"/>
      <c r="M26" s="25" t="s">
        <v>191</v>
      </c>
      <c r="N26" s="25"/>
      <c r="O26" s="23" t="s">
        <v>352</v>
      </c>
      <c r="P26" s="23" t="s">
        <v>353</v>
      </c>
      <c r="Q26" s="35">
        <v>1</v>
      </c>
    </row>
    <row r="27" spans="1:17" x14ac:dyDescent="0.3">
      <c r="A27" s="12">
        <v>2024</v>
      </c>
      <c r="B27" s="3" t="s">
        <v>246</v>
      </c>
      <c r="C27" s="3" t="s">
        <v>247</v>
      </c>
      <c r="D27" s="3" t="s">
        <v>248</v>
      </c>
      <c r="E27" s="3" t="s">
        <v>6</v>
      </c>
      <c r="F27" s="3" t="s">
        <v>7</v>
      </c>
      <c r="G27" s="3" t="s">
        <v>396</v>
      </c>
      <c r="H27" s="7">
        <v>0</v>
      </c>
      <c r="I27" s="4" t="s">
        <v>190</v>
      </c>
      <c r="J27" s="4"/>
      <c r="K27" s="4"/>
      <c r="L27" s="4"/>
      <c r="M27" s="4" t="s">
        <v>191</v>
      </c>
      <c r="N27" s="4"/>
      <c r="O27" s="7" t="s">
        <v>394</v>
      </c>
      <c r="P27" s="7" t="s">
        <v>395</v>
      </c>
      <c r="Q27" s="36">
        <v>1</v>
      </c>
    </row>
    <row r="28" spans="1:17" x14ac:dyDescent="0.3">
      <c r="A28" s="12">
        <v>2024</v>
      </c>
      <c r="B28" s="24" t="s">
        <v>146</v>
      </c>
      <c r="C28" s="24" t="s">
        <v>145</v>
      </c>
      <c r="D28" s="24" t="s">
        <v>147</v>
      </c>
      <c r="E28" s="24" t="s">
        <v>6</v>
      </c>
      <c r="F28" s="24" t="s">
        <v>127</v>
      </c>
      <c r="G28" s="24" t="s">
        <v>355</v>
      </c>
      <c r="H28" s="23">
        <v>0</v>
      </c>
      <c r="I28" s="25" t="s">
        <v>190</v>
      </c>
      <c r="J28" s="25"/>
      <c r="K28" s="25"/>
      <c r="L28" s="25"/>
      <c r="M28" s="25" t="s">
        <v>191</v>
      </c>
      <c r="N28" s="25"/>
      <c r="O28" s="23" t="s">
        <v>354</v>
      </c>
      <c r="P28" s="23" t="s">
        <v>356</v>
      </c>
      <c r="Q28" s="35">
        <v>1</v>
      </c>
    </row>
    <row r="29" spans="1:17" x14ac:dyDescent="0.3">
      <c r="A29" s="12">
        <v>2024</v>
      </c>
      <c r="B29" s="3" t="s">
        <v>14</v>
      </c>
      <c r="C29" s="14" t="s">
        <v>24</v>
      </c>
      <c r="D29" s="3" t="s">
        <v>25</v>
      </c>
      <c r="E29" s="3" t="s">
        <v>6</v>
      </c>
      <c r="F29" s="3" t="s">
        <v>7</v>
      </c>
      <c r="G29" s="3" t="s">
        <v>364</v>
      </c>
      <c r="H29" s="7">
        <v>0</v>
      </c>
      <c r="I29" s="4"/>
      <c r="J29" s="4"/>
      <c r="K29" s="4"/>
      <c r="L29" s="4"/>
      <c r="M29" s="4" t="s">
        <v>191</v>
      </c>
      <c r="N29" s="4"/>
      <c r="O29" s="7" t="s">
        <v>406</v>
      </c>
      <c r="P29" s="7" t="s">
        <v>365</v>
      </c>
      <c r="Q29" s="36">
        <v>1</v>
      </c>
    </row>
    <row r="30" spans="1:17" x14ac:dyDescent="0.3">
      <c r="A30" s="12">
        <v>2024</v>
      </c>
      <c r="B30" s="24" t="s">
        <v>98</v>
      </c>
      <c r="C30" s="24" t="s">
        <v>99</v>
      </c>
      <c r="D30" s="24" t="s">
        <v>100</v>
      </c>
      <c r="E30" s="24" t="s">
        <v>85</v>
      </c>
      <c r="F30" s="24" t="s">
        <v>86</v>
      </c>
      <c r="G30" s="24" t="s">
        <v>344</v>
      </c>
      <c r="H30" s="23">
        <v>0</v>
      </c>
      <c r="I30" s="25"/>
      <c r="J30" s="25"/>
      <c r="K30" s="25"/>
      <c r="L30" s="25"/>
      <c r="M30" s="25" t="s">
        <v>191</v>
      </c>
      <c r="N30" s="25"/>
      <c r="O30" s="23" t="s">
        <v>392</v>
      </c>
      <c r="P30" s="23" t="s">
        <v>393</v>
      </c>
      <c r="Q30" s="35">
        <v>1</v>
      </c>
    </row>
    <row r="31" spans="1:17" x14ac:dyDescent="0.3">
      <c r="A31" s="13">
        <v>2025</v>
      </c>
      <c r="B31" s="3" t="s">
        <v>15</v>
      </c>
      <c r="C31" s="3" t="s">
        <v>16</v>
      </c>
      <c r="D31" s="3" t="s">
        <v>17</v>
      </c>
      <c r="E31" s="3" t="s">
        <v>6</v>
      </c>
      <c r="F31" s="3" t="s">
        <v>7</v>
      </c>
      <c r="G31" s="3" t="s">
        <v>198</v>
      </c>
      <c r="H31" s="7">
        <v>0</v>
      </c>
      <c r="I31" s="4"/>
      <c r="J31" s="4" t="s">
        <v>195</v>
      </c>
      <c r="K31" s="4" t="s">
        <v>192</v>
      </c>
      <c r="L31" s="4" t="s">
        <v>193</v>
      </c>
      <c r="M31" s="4" t="s">
        <v>191</v>
      </c>
      <c r="N31" s="4"/>
      <c r="O31" s="7" t="s">
        <v>410</v>
      </c>
      <c r="P31" s="7" t="s">
        <v>409</v>
      </c>
      <c r="Q31" s="36">
        <v>1</v>
      </c>
    </row>
    <row r="32" spans="1:17" x14ac:dyDescent="0.3">
      <c r="A32" s="13">
        <v>2025</v>
      </c>
      <c r="B32" s="24" t="s">
        <v>8</v>
      </c>
      <c r="C32" s="24" t="s">
        <v>9</v>
      </c>
      <c r="D32" s="24" t="s">
        <v>10</v>
      </c>
      <c r="E32" s="24" t="s">
        <v>6</v>
      </c>
      <c r="F32" s="24" t="s">
        <v>7</v>
      </c>
      <c r="G32" s="24" t="s">
        <v>196</v>
      </c>
      <c r="H32" s="23">
        <v>0</v>
      </c>
      <c r="I32" s="25"/>
      <c r="J32" s="25" t="s">
        <v>195</v>
      </c>
      <c r="K32" s="25" t="s">
        <v>192</v>
      </c>
      <c r="L32" s="25" t="s">
        <v>193</v>
      </c>
      <c r="M32" s="25" t="s">
        <v>191</v>
      </c>
      <c r="N32" s="25"/>
      <c r="O32" s="23" t="s">
        <v>399</v>
      </c>
      <c r="P32" s="23" t="s">
        <v>400</v>
      </c>
      <c r="Q32" s="35">
        <v>1</v>
      </c>
    </row>
    <row r="33" spans="1:17" x14ac:dyDescent="0.3">
      <c r="A33" s="13">
        <v>2025</v>
      </c>
      <c r="B33" s="3" t="s">
        <v>21</v>
      </c>
      <c r="C33" s="3" t="s">
        <v>22</v>
      </c>
      <c r="D33" s="3" t="s">
        <v>23</v>
      </c>
      <c r="E33" s="3" t="s">
        <v>6</v>
      </c>
      <c r="F33" s="3" t="s">
        <v>7</v>
      </c>
      <c r="G33" s="3" t="s">
        <v>357</v>
      </c>
      <c r="H33" s="7">
        <v>0</v>
      </c>
      <c r="I33" s="4"/>
      <c r="J33" s="4" t="s">
        <v>195</v>
      </c>
      <c r="K33" s="4"/>
      <c r="L33" s="4"/>
      <c r="M33" s="4" t="s">
        <v>191</v>
      </c>
      <c r="N33" s="4"/>
      <c r="O33" s="7" t="s">
        <v>416</v>
      </c>
      <c r="P33" s="7" t="s">
        <v>417</v>
      </c>
      <c r="Q33" s="36">
        <v>1</v>
      </c>
    </row>
    <row r="34" spans="1:17" x14ac:dyDescent="0.3">
      <c r="A34" s="13">
        <v>2025</v>
      </c>
      <c r="B34" s="24" t="s">
        <v>222</v>
      </c>
      <c r="C34" s="24" t="s">
        <v>223</v>
      </c>
      <c r="D34" s="24" t="s">
        <v>224</v>
      </c>
      <c r="E34" s="24" t="s">
        <v>6</v>
      </c>
      <c r="F34" s="24" t="s">
        <v>7</v>
      </c>
      <c r="G34" s="24" t="s">
        <v>421</v>
      </c>
      <c r="H34" s="23">
        <v>0</v>
      </c>
      <c r="I34" s="25" t="s">
        <v>190</v>
      </c>
      <c r="J34" s="25"/>
      <c r="K34" s="25" t="s">
        <v>192</v>
      </c>
      <c r="L34" s="25"/>
      <c r="M34" s="25" t="s">
        <v>191</v>
      </c>
      <c r="N34" s="25"/>
      <c r="O34" s="23" t="s">
        <v>422</v>
      </c>
      <c r="P34" s="23" t="s">
        <v>423</v>
      </c>
      <c r="Q34" s="35">
        <v>1</v>
      </c>
    </row>
    <row r="35" spans="1:17" x14ac:dyDescent="0.3">
      <c r="A35" s="13">
        <v>2025</v>
      </c>
      <c r="B35" s="3" t="s">
        <v>218</v>
      </c>
      <c r="C35" s="3" t="s">
        <v>219</v>
      </c>
      <c r="D35" s="3" t="s">
        <v>220</v>
      </c>
      <c r="E35" s="3" t="s">
        <v>6</v>
      </c>
      <c r="F35" s="3" t="s">
        <v>221</v>
      </c>
      <c r="G35" s="3" t="s">
        <v>418</v>
      </c>
      <c r="H35" s="7">
        <v>0</v>
      </c>
      <c r="I35" s="4"/>
      <c r="J35" s="4"/>
      <c r="K35" s="4" t="s">
        <v>192</v>
      </c>
      <c r="L35" s="4"/>
      <c r="M35" s="4" t="s">
        <v>191</v>
      </c>
      <c r="N35" s="4"/>
      <c r="O35" s="7" t="s">
        <v>419</v>
      </c>
      <c r="P35" s="7" t="s">
        <v>420</v>
      </c>
      <c r="Q35" s="36">
        <v>1</v>
      </c>
    </row>
    <row r="36" spans="1:17" x14ac:dyDescent="0.3">
      <c r="A36" s="13">
        <v>2025</v>
      </c>
      <c r="B36" s="24" t="s">
        <v>152</v>
      </c>
      <c r="C36" s="24" t="s">
        <v>151</v>
      </c>
      <c r="D36" s="24" t="s">
        <v>153</v>
      </c>
      <c r="E36" s="24" t="s">
        <v>6</v>
      </c>
      <c r="F36" s="24" t="s">
        <v>127</v>
      </c>
      <c r="G36" s="24" t="s">
        <v>401</v>
      </c>
      <c r="H36" s="23">
        <v>0</v>
      </c>
      <c r="I36" s="25"/>
      <c r="J36" s="25"/>
      <c r="K36" s="25" t="s">
        <v>192</v>
      </c>
      <c r="L36" s="25"/>
      <c r="M36" s="25" t="s">
        <v>191</v>
      </c>
      <c r="N36" s="25"/>
      <c r="O36" s="23" t="s">
        <v>402</v>
      </c>
      <c r="P36" s="23" t="s">
        <v>403</v>
      </c>
      <c r="Q36" s="35">
        <v>1</v>
      </c>
    </row>
    <row r="37" spans="1:17" x14ac:dyDescent="0.3">
      <c r="A37" s="42">
        <v>2025</v>
      </c>
      <c r="B37" s="43" t="s">
        <v>159</v>
      </c>
      <c r="C37" s="43" t="s">
        <v>160</v>
      </c>
      <c r="D37" s="43" t="s">
        <v>162</v>
      </c>
      <c r="E37" s="43" t="s">
        <v>161</v>
      </c>
      <c r="F37" s="43" t="s">
        <v>154</v>
      </c>
      <c r="G37" s="43" t="s">
        <v>198</v>
      </c>
      <c r="H37" s="18">
        <v>0</v>
      </c>
      <c r="I37" s="20"/>
      <c r="J37" s="20"/>
      <c r="K37" s="20" t="s">
        <v>192</v>
      </c>
      <c r="L37" s="20"/>
      <c r="M37" s="20" t="s">
        <v>191</v>
      </c>
      <c r="N37" s="20"/>
      <c r="O37" s="18" t="s">
        <v>415</v>
      </c>
      <c r="P37" s="18" t="s">
        <v>414</v>
      </c>
      <c r="Q37" s="44">
        <v>1</v>
      </c>
    </row>
  </sheetData>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4"/>
  <sheetViews>
    <sheetView zoomScale="110" zoomScaleNormal="110" workbookViewId="0">
      <selection activeCell="B1" sqref="B1"/>
    </sheetView>
  </sheetViews>
  <sheetFormatPr defaultRowHeight="14.4" x14ac:dyDescent="0.3"/>
  <cols>
    <col min="2" max="2" width="9.44140625" customWidth="1"/>
    <col min="4" max="4" width="9.77734375" customWidth="1"/>
    <col min="5" max="5" width="17.6640625" customWidth="1"/>
    <col min="6" max="6" width="10.5546875" customWidth="1"/>
    <col min="9" max="9" width="18.6640625" customWidth="1"/>
    <col min="10" max="10" width="13.6640625" customWidth="1"/>
    <col min="11" max="11" width="12.109375" customWidth="1"/>
    <col min="12" max="13" width="14.77734375" customWidth="1"/>
    <col min="14" max="14" width="15.88671875" customWidth="1"/>
    <col min="15" max="15" width="19.5546875" customWidth="1"/>
    <col min="16" max="16" width="27.109375" customWidth="1"/>
    <col min="17" max="17" width="10.33203125" customWidth="1"/>
    <col min="20" max="20" width="12.5546875" bestFit="1" customWidth="1"/>
    <col min="21" max="21" width="25.109375" bestFit="1" customWidth="1"/>
    <col min="22" max="22" width="18.44140625" bestFit="1" customWidth="1"/>
    <col min="23" max="23" width="21.5546875" bestFit="1" customWidth="1"/>
    <col min="24" max="24" width="21.109375" bestFit="1" customWidth="1"/>
    <col min="25" max="25" width="20.21875" bestFit="1" customWidth="1"/>
    <col min="26" max="26" width="22.44140625" bestFit="1" customWidth="1"/>
  </cols>
  <sheetData>
    <row r="1" spans="1:26" x14ac:dyDescent="0.3">
      <c r="A1" s="37" t="s">
        <v>0</v>
      </c>
      <c r="B1" s="38" t="s">
        <v>1</v>
      </c>
      <c r="C1" s="38" t="s">
        <v>2</v>
      </c>
      <c r="D1" s="38" t="s">
        <v>3</v>
      </c>
      <c r="E1" s="38" t="s">
        <v>4</v>
      </c>
      <c r="F1" s="38" t="s">
        <v>5</v>
      </c>
      <c r="G1" s="38" t="s">
        <v>173</v>
      </c>
      <c r="H1" s="38" t="s">
        <v>504</v>
      </c>
      <c r="I1" s="39" t="s">
        <v>439</v>
      </c>
      <c r="J1" s="39" t="s">
        <v>284</v>
      </c>
      <c r="K1" s="39" t="s">
        <v>285</v>
      </c>
      <c r="L1" s="38" t="s">
        <v>286</v>
      </c>
      <c r="M1" s="38" t="s">
        <v>289</v>
      </c>
      <c r="N1" s="38" t="s">
        <v>300</v>
      </c>
      <c r="O1" s="40" t="s">
        <v>174</v>
      </c>
      <c r="P1" s="40" t="s">
        <v>253</v>
      </c>
      <c r="Q1" s="41" t="s">
        <v>252</v>
      </c>
    </row>
    <row r="2" spans="1:26" ht="15" thickBot="1" x14ac:dyDescent="0.35">
      <c r="A2" s="8">
        <v>2020</v>
      </c>
      <c r="B2" s="24" t="s">
        <v>103</v>
      </c>
      <c r="C2" s="24" t="s">
        <v>104</v>
      </c>
      <c r="D2" s="24" t="s">
        <v>105</v>
      </c>
      <c r="E2" s="24" t="s">
        <v>101</v>
      </c>
      <c r="F2" s="24" t="s">
        <v>102</v>
      </c>
      <c r="G2" s="24" t="s">
        <v>177</v>
      </c>
      <c r="H2" s="23" t="s">
        <v>506</v>
      </c>
      <c r="I2" s="25" t="s">
        <v>190</v>
      </c>
      <c r="J2" s="25"/>
      <c r="K2" s="25"/>
      <c r="L2" s="31"/>
      <c r="M2" s="31"/>
      <c r="N2" s="31"/>
      <c r="O2" s="23" t="s">
        <v>178</v>
      </c>
      <c r="P2" s="32" t="s">
        <v>264</v>
      </c>
      <c r="Q2" s="35">
        <v>1</v>
      </c>
    </row>
    <row r="3" spans="1:26" x14ac:dyDescent="0.3">
      <c r="A3" s="8">
        <v>2021</v>
      </c>
      <c r="B3" s="3" t="s">
        <v>440</v>
      </c>
      <c r="C3" s="3" t="s">
        <v>441</v>
      </c>
      <c r="D3" s="3" t="s">
        <v>442</v>
      </c>
      <c r="E3" s="3" t="s">
        <v>6</v>
      </c>
      <c r="F3" s="3" t="s">
        <v>7</v>
      </c>
      <c r="G3" s="3" t="s">
        <v>184</v>
      </c>
      <c r="H3" s="3" t="s">
        <v>511</v>
      </c>
      <c r="I3" s="4" t="s">
        <v>190</v>
      </c>
      <c r="J3" s="4"/>
      <c r="K3" s="4"/>
      <c r="L3" s="4"/>
      <c r="M3" s="4"/>
      <c r="N3" s="4"/>
      <c r="O3" s="7" t="s">
        <v>443</v>
      </c>
      <c r="P3" s="7"/>
      <c r="Q3" s="36">
        <v>1</v>
      </c>
      <c r="T3" s="55" t="s">
        <v>497</v>
      </c>
      <c r="U3" s="56" t="s">
        <v>498</v>
      </c>
      <c r="V3" s="56" t="s">
        <v>500</v>
      </c>
      <c r="W3" s="56" t="s">
        <v>501</v>
      </c>
      <c r="X3" s="56" t="s">
        <v>502</v>
      </c>
      <c r="Y3" s="56" t="s">
        <v>499</v>
      </c>
      <c r="Z3" s="57" t="s">
        <v>503</v>
      </c>
    </row>
    <row r="4" spans="1:26" x14ac:dyDescent="0.3">
      <c r="A4" s="8">
        <v>2021</v>
      </c>
      <c r="B4" s="24" t="s">
        <v>74</v>
      </c>
      <c r="C4" s="24" t="s">
        <v>75</v>
      </c>
      <c r="D4" s="24" t="s">
        <v>76</v>
      </c>
      <c r="E4" s="24" t="s">
        <v>6</v>
      </c>
      <c r="F4" s="24" t="s">
        <v>7</v>
      </c>
      <c r="G4" s="33" t="s">
        <v>184</v>
      </c>
      <c r="H4" s="23" t="s">
        <v>513</v>
      </c>
      <c r="I4" s="25" t="s">
        <v>190</v>
      </c>
      <c r="J4" s="25"/>
      <c r="K4" s="25"/>
      <c r="L4" s="25" t="s">
        <v>193</v>
      </c>
      <c r="M4" s="25"/>
      <c r="N4" s="25"/>
      <c r="O4" s="23" t="s">
        <v>185</v>
      </c>
      <c r="P4" s="23" t="s">
        <v>273</v>
      </c>
      <c r="Q4" s="35">
        <v>1</v>
      </c>
      <c r="T4" s="58">
        <v>2020</v>
      </c>
      <c r="U4" s="3">
        <v>1</v>
      </c>
      <c r="V4" s="3"/>
      <c r="W4" s="3"/>
      <c r="X4" s="3"/>
      <c r="Y4" s="3"/>
      <c r="Z4" s="59"/>
    </row>
    <row r="5" spans="1:26" x14ac:dyDescent="0.3">
      <c r="A5" s="9">
        <v>2022</v>
      </c>
      <c r="B5" s="3" t="s">
        <v>65</v>
      </c>
      <c r="C5" s="3" t="s">
        <v>66</v>
      </c>
      <c r="D5" s="3" t="s">
        <v>67</v>
      </c>
      <c r="E5" s="3" t="s">
        <v>6</v>
      </c>
      <c r="F5" s="3" t="s">
        <v>7</v>
      </c>
      <c r="G5" s="3" t="s">
        <v>302</v>
      </c>
      <c r="H5" s="3">
        <v>0</v>
      </c>
      <c r="I5" s="4" t="s">
        <v>190</v>
      </c>
      <c r="J5" s="4"/>
      <c r="K5" s="4" t="s">
        <v>192</v>
      </c>
      <c r="L5" s="4"/>
      <c r="M5" s="4"/>
      <c r="N5" s="4" t="s">
        <v>301</v>
      </c>
      <c r="O5" s="7" t="s">
        <v>298</v>
      </c>
      <c r="P5" s="7" t="s">
        <v>299</v>
      </c>
      <c r="Q5" s="36">
        <v>1</v>
      </c>
      <c r="T5" s="58">
        <v>2021</v>
      </c>
      <c r="U5" s="3">
        <v>2</v>
      </c>
      <c r="V5" s="3"/>
      <c r="W5" s="3">
        <v>1</v>
      </c>
      <c r="X5" s="3"/>
      <c r="Y5" s="3"/>
      <c r="Z5" s="59"/>
    </row>
    <row r="6" spans="1:26" x14ac:dyDescent="0.3">
      <c r="A6" s="9">
        <v>2023</v>
      </c>
      <c r="B6" s="24" t="s">
        <v>444</v>
      </c>
      <c r="C6" s="24" t="s">
        <v>445</v>
      </c>
      <c r="D6" s="24" t="s">
        <v>446</v>
      </c>
      <c r="E6" s="24" t="s">
        <v>6</v>
      </c>
      <c r="F6" s="24" t="s">
        <v>7</v>
      </c>
      <c r="G6" s="24" t="s">
        <v>479</v>
      </c>
      <c r="H6" s="24">
        <v>0</v>
      </c>
      <c r="I6" s="25" t="s">
        <v>190</v>
      </c>
      <c r="J6" s="25"/>
      <c r="K6" s="25" t="s">
        <v>192</v>
      </c>
      <c r="L6" s="25"/>
      <c r="M6" s="25"/>
      <c r="N6" s="25"/>
      <c r="O6" s="23" t="s">
        <v>476</v>
      </c>
      <c r="P6" s="23" t="s">
        <v>477</v>
      </c>
      <c r="Q6" s="35">
        <v>1</v>
      </c>
      <c r="T6" s="58">
        <v>2022</v>
      </c>
      <c r="U6" s="3">
        <v>1</v>
      </c>
      <c r="V6" s="3">
        <v>1</v>
      </c>
      <c r="W6" s="3"/>
      <c r="X6" s="3"/>
      <c r="Y6" s="3"/>
      <c r="Z6" s="59">
        <v>1</v>
      </c>
    </row>
    <row r="7" spans="1:26" x14ac:dyDescent="0.3">
      <c r="A7" s="9">
        <v>2023</v>
      </c>
      <c r="B7" s="3" t="s">
        <v>447</v>
      </c>
      <c r="C7" s="3" t="s">
        <v>448</v>
      </c>
      <c r="D7" s="3" t="s">
        <v>449</v>
      </c>
      <c r="E7" s="3" t="s">
        <v>85</v>
      </c>
      <c r="F7" s="3" t="s">
        <v>86</v>
      </c>
      <c r="G7" s="3" t="s">
        <v>322</v>
      </c>
      <c r="H7" s="3">
        <v>0</v>
      </c>
      <c r="I7" s="4" t="s">
        <v>190</v>
      </c>
      <c r="J7" s="4"/>
      <c r="K7" s="4"/>
      <c r="L7" s="4" t="s">
        <v>193</v>
      </c>
      <c r="M7" s="4"/>
      <c r="N7" s="4"/>
      <c r="O7" s="7" t="s">
        <v>478</v>
      </c>
      <c r="P7" s="7" t="s">
        <v>480</v>
      </c>
      <c r="Q7" s="36">
        <v>1</v>
      </c>
      <c r="T7" s="58">
        <v>2023</v>
      </c>
      <c r="U7" s="3">
        <v>5</v>
      </c>
      <c r="V7" s="3">
        <v>2</v>
      </c>
      <c r="W7" s="3">
        <v>1</v>
      </c>
      <c r="X7" s="3">
        <v>1</v>
      </c>
      <c r="Y7" s="3"/>
      <c r="Z7" s="59"/>
    </row>
    <row r="8" spans="1:26" x14ac:dyDescent="0.3">
      <c r="A8" s="10">
        <v>2023</v>
      </c>
      <c r="B8" s="24" t="s">
        <v>450</v>
      </c>
      <c r="C8" s="24" t="s">
        <v>451</v>
      </c>
      <c r="D8" s="24" t="s">
        <v>452</v>
      </c>
      <c r="E8" s="24" t="s">
        <v>6</v>
      </c>
      <c r="F8" s="24" t="s">
        <v>7</v>
      </c>
      <c r="G8" s="24" t="s">
        <v>482</v>
      </c>
      <c r="H8" s="23">
        <v>0</v>
      </c>
      <c r="I8" s="25" t="s">
        <v>190</v>
      </c>
      <c r="J8" s="25"/>
      <c r="K8" s="25"/>
      <c r="L8" s="25"/>
      <c r="M8" s="25"/>
      <c r="N8" s="25"/>
      <c r="O8" s="23" t="s">
        <v>481</v>
      </c>
      <c r="P8" s="23"/>
      <c r="Q8" s="35">
        <v>1</v>
      </c>
      <c r="T8" s="58">
        <v>2024</v>
      </c>
      <c r="U8" s="3">
        <v>9</v>
      </c>
      <c r="V8" s="3">
        <v>7</v>
      </c>
      <c r="W8" s="3">
        <v>3</v>
      </c>
      <c r="X8" s="3">
        <v>4</v>
      </c>
      <c r="Y8" s="3">
        <v>2</v>
      </c>
      <c r="Z8" s="59"/>
    </row>
    <row r="9" spans="1:26" x14ac:dyDescent="0.3">
      <c r="A9" s="10">
        <v>2023</v>
      </c>
      <c r="B9" s="3" t="s">
        <v>141</v>
      </c>
      <c r="C9" s="3" t="s">
        <v>140</v>
      </c>
      <c r="D9" s="3" t="s">
        <v>327</v>
      </c>
      <c r="E9" s="3" t="s">
        <v>6</v>
      </c>
      <c r="F9" s="3" t="s">
        <v>127</v>
      </c>
      <c r="G9" s="3" t="s">
        <v>326</v>
      </c>
      <c r="H9" s="7">
        <v>0</v>
      </c>
      <c r="I9" s="4" t="s">
        <v>190</v>
      </c>
      <c r="J9" s="4"/>
      <c r="K9" s="4"/>
      <c r="L9" s="4"/>
      <c r="M9" s="4" t="s">
        <v>191</v>
      </c>
      <c r="N9" s="4"/>
      <c r="O9" s="7" t="s">
        <v>325</v>
      </c>
      <c r="P9" s="7" t="s">
        <v>328</v>
      </c>
      <c r="Q9" s="36">
        <v>1</v>
      </c>
      <c r="T9" s="58">
        <v>2025</v>
      </c>
      <c r="U9" s="3">
        <v>5</v>
      </c>
      <c r="V9" s="3">
        <v>1</v>
      </c>
      <c r="W9" s="3">
        <v>3</v>
      </c>
      <c r="X9" s="3">
        <v>1</v>
      </c>
      <c r="Y9" s="3">
        <v>1</v>
      </c>
      <c r="Z9" s="59"/>
    </row>
    <row r="10" spans="1:26" ht="15" thickBot="1" x14ac:dyDescent="0.35">
      <c r="A10" s="10">
        <v>2023</v>
      </c>
      <c r="B10" s="24" t="s">
        <v>47</v>
      </c>
      <c r="C10" s="24" t="s">
        <v>48</v>
      </c>
      <c r="D10" s="24" t="s">
        <v>49</v>
      </c>
      <c r="E10" s="24" t="s">
        <v>6</v>
      </c>
      <c r="F10" s="24" t="s">
        <v>7</v>
      </c>
      <c r="G10" s="24" t="s">
        <v>341</v>
      </c>
      <c r="H10" s="23">
        <v>0</v>
      </c>
      <c r="I10" s="25" t="s">
        <v>190</v>
      </c>
      <c r="J10" s="25"/>
      <c r="K10" s="25" t="s">
        <v>192</v>
      </c>
      <c r="L10" s="25"/>
      <c r="M10" s="25"/>
      <c r="N10" s="25"/>
      <c r="O10" s="23" t="s">
        <v>342</v>
      </c>
      <c r="P10" s="23" t="s">
        <v>343</v>
      </c>
      <c r="Q10" s="35">
        <v>1</v>
      </c>
      <c r="T10" s="60" t="s">
        <v>496</v>
      </c>
      <c r="U10" s="61">
        <v>23</v>
      </c>
      <c r="V10" s="61">
        <v>11</v>
      </c>
      <c r="W10" s="61">
        <v>8</v>
      </c>
      <c r="X10" s="61">
        <v>6</v>
      </c>
      <c r="Y10" s="61">
        <v>3</v>
      </c>
      <c r="Z10" s="62">
        <v>1</v>
      </c>
    </row>
    <row r="11" spans="1:26" x14ac:dyDescent="0.3">
      <c r="A11" s="10">
        <v>2024</v>
      </c>
      <c r="B11" s="3" t="s">
        <v>434</v>
      </c>
      <c r="C11" s="3" t="s">
        <v>435</v>
      </c>
      <c r="D11" s="3" t="s">
        <v>436</v>
      </c>
      <c r="E11" s="3" t="s">
        <v>433</v>
      </c>
      <c r="F11" s="3" t="s">
        <v>102</v>
      </c>
      <c r="G11" s="3" t="s">
        <v>437</v>
      </c>
      <c r="H11" s="7">
        <v>0</v>
      </c>
      <c r="I11" s="4" t="s">
        <v>190</v>
      </c>
      <c r="J11" s="4" t="s">
        <v>195</v>
      </c>
      <c r="K11" s="4" t="s">
        <v>192</v>
      </c>
      <c r="L11" s="4"/>
      <c r="M11" s="4"/>
      <c r="N11" s="4"/>
      <c r="O11" s="7" t="s">
        <v>406</v>
      </c>
      <c r="P11" s="7"/>
      <c r="Q11" s="36">
        <v>1</v>
      </c>
    </row>
    <row r="12" spans="1:26" x14ac:dyDescent="0.3">
      <c r="A12" s="10">
        <v>2024</v>
      </c>
      <c r="B12" s="24" t="s">
        <v>246</v>
      </c>
      <c r="C12" s="24" t="s">
        <v>247</v>
      </c>
      <c r="D12" s="24" t="s">
        <v>248</v>
      </c>
      <c r="E12" s="24" t="s">
        <v>6</v>
      </c>
      <c r="F12" s="24" t="s">
        <v>7</v>
      </c>
      <c r="G12" s="24" t="s">
        <v>396</v>
      </c>
      <c r="H12" s="24">
        <v>0</v>
      </c>
      <c r="I12" s="25" t="s">
        <v>190</v>
      </c>
      <c r="J12" s="25"/>
      <c r="K12" s="25"/>
      <c r="L12" s="25"/>
      <c r="M12" s="25" t="s">
        <v>191</v>
      </c>
      <c r="N12" s="25"/>
      <c r="O12" s="23" t="s">
        <v>394</v>
      </c>
      <c r="P12" s="23" t="s">
        <v>395</v>
      </c>
      <c r="Q12" s="35">
        <v>1</v>
      </c>
    </row>
    <row r="13" spans="1:26" x14ac:dyDescent="0.3">
      <c r="A13" s="10">
        <v>2024</v>
      </c>
      <c r="B13" s="3" t="s">
        <v>460</v>
      </c>
      <c r="C13" s="3" t="s">
        <v>461</v>
      </c>
      <c r="D13" s="3" t="s">
        <v>462</v>
      </c>
      <c r="E13" s="3" t="s">
        <v>6</v>
      </c>
      <c r="F13" s="3" t="s">
        <v>7</v>
      </c>
      <c r="G13" s="3" t="s">
        <v>311</v>
      </c>
      <c r="H13" s="7">
        <v>0</v>
      </c>
      <c r="I13" s="4" t="s">
        <v>190</v>
      </c>
      <c r="J13" s="4" t="s">
        <v>195</v>
      </c>
      <c r="K13" s="4" t="s">
        <v>192</v>
      </c>
      <c r="L13" s="4"/>
      <c r="M13" s="4"/>
      <c r="N13" s="4"/>
      <c r="O13" s="7" t="s">
        <v>410</v>
      </c>
      <c r="P13" s="7" t="s">
        <v>490</v>
      </c>
      <c r="Q13" s="36">
        <v>1</v>
      </c>
    </row>
    <row r="14" spans="1:26" x14ac:dyDescent="0.3">
      <c r="A14" s="11">
        <v>2024</v>
      </c>
      <c r="B14" s="24" t="s">
        <v>463</v>
      </c>
      <c r="C14" s="24" t="s">
        <v>464</v>
      </c>
      <c r="D14" s="24" t="s">
        <v>465</v>
      </c>
      <c r="E14" s="24" t="s">
        <v>6</v>
      </c>
      <c r="F14" s="24" t="s">
        <v>7</v>
      </c>
      <c r="G14" s="24" t="s">
        <v>378</v>
      </c>
      <c r="H14" s="23">
        <v>0</v>
      </c>
      <c r="I14" s="25" t="s">
        <v>190</v>
      </c>
      <c r="J14" s="25"/>
      <c r="K14" s="25" t="s">
        <v>192</v>
      </c>
      <c r="L14" s="25"/>
      <c r="M14" s="25"/>
      <c r="N14" s="25"/>
      <c r="O14" s="23" t="s">
        <v>410</v>
      </c>
      <c r="P14" s="23" t="s">
        <v>491</v>
      </c>
      <c r="Q14" s="35">
        <v>1</v>
      </c>
    </row>
    <row r="15" spans="1:26" x14ac:dyDescent="0.3">
      <c r="A15" s="11">
        <v>2024</v>
      </c>
      <c r="B15" s="3" t="s">
        <v>453</v>
      </c>
      <c r="C15" s="3" t="s">
        <v>454</v>
      </c>
      <c r="D15" s="3" t="s">
        <v>455</v>
      </c>
      <c r="E15" s="3" t="s">
        <v>6</v>
      </c>
      <c r="F15" s="3" t="s">
        <v>7</v>
      </c>
      <c r="G15" s="7" t="s">
        <v>456</v>
      </c>
      <c r="H15" s="7">
        <v>0</v>
      </c>
      <c r="I15" s="4" t="s">
        <v>190</v>
      </c>
      <c r="J15" s="4"/>
      <c r="K15" s="4" t="s">
        <v>192</v>
      </c>
      <c r="L15" s="4"/>
      <c r="M15" s="4"/>
      <c r="N15" s="4"/>
      <c r="O15" s="7" t="s">
        <v>483</v>
      </c>
      <c r="P15" s="7" t="s">
        <v>484</v>
      </c>
      <c r="Q15" s="36">
        <v>1</v>
      </c>
    </row>
    <row r="16" spans="1:26" x14ac:dyDescent="0.3">
      <c r="A16" s="11">
        <v>2024</v>
      </c>
      <c r="B16" s="24" t="s">
        <v>457</v>
      </c>
      <c r="C16" s="24" t="s">
        <v>458</v>
      </c>
      <c r="D16" s="24" t="s">
        <v>459</v>
      </c>
      <c r="E16" s="24" t="s">
        <v>85</v>
      </c>
      <c r="F16" s="24" t="s">
        <v>86</v>
      </c>
      <c r="G16" s="24" t="s">
        <v>198</v>
      </c>
      <c r="H16" s="23">
        <v>0</v>
      </c>
      <c r="I16" s="25" t="s">
        <v>190</v>
      </c>
      <c r="J16" s="25"/>
      <c r="K16" s="25" t="s">
        <v>192</v>
      </c>
      <c r="L16" s="25" t="s">
        <v>193</v>
      </c>
      <c r="M16" s="25"/>
      <c r="N16" s="25"/>
      <c r="O16" s="23" t="s">
        <v>485</v>
      </c>
      <c r="P16" s="23" t="s">
        <v>486</v>
      </c>
      <c r="Q16" s="35">
        <v>1</v>
      </c>
    </row>
    <row r="17" spans="1:17" x14ac:dyDescent="0.3">
      <c r="A17" s="11">
        <v>2024</v>
      </c>
      <c r="B17" s="3" t="s">
        <v>208</v>
      </c>
      <c r="C17" s="3" t="s">
        <v>209</v>
      </c>
      <c r="D17" s="3" t="s">
        <v>210</v>
      </c>
      <c r="E17" s="3" t="s">
        <v>211</v>
      </c>
      <c r="F17" s="3" t="s">
        <v>102</v>
      </c>
      <c r="G17" s="3" t="s">
        <v>384</v>
      </c>
      <c r="H17" s="7">
        <v>0</v>
      </c>
      <c r="I17" s="4" t="s">
        <v>190</v>
      </c>
      <c r="J17" s="4"/>
      <c r="K17" s="4" t="s">
        <v>192</v>
      </c>
      <c r="L17" s="4" t="s">
        <v>193</v>
      </c>
      <c r="M17" s="4" t="s">
        <v>191</v>
      </c>
      <c r="N17" s="4"/>
      <c r="O17" s="7" t="s">
        <v>383</v>
      </c>
      <c r="P17" s="7" t="s">
        <v>385</v>
      </c>
      <c r="Q17" s="36">
        <v>1</v>
      </c>
    </row>
    <row r="18" spans="1:17" x14ac:dyDescent="0.3">
      <c r="A18" s="11">
        <v>2024</v>
      </c>
      <c r="B18" s="24" t="s">
        <v>212</v>
      </c>
      <c r="C18" s="24" t="s">
        <v>213</v>
      </c>
      <c r="D18" s="24" t="s">
        <v>214</v>
      </c>
      <c r="E18" s="24" t="s">
        <v>6</v>
      </c>
      <c r="F18" s="24" t="s">
        <v>7</v>
      </c>
      <c r="G18" s="24" t="s">
        <v>387</v>
      </c>
      <c r="H18" s="23">
        <v>0</v>
      </c>
      <c r="I18" s="25" t="s">
        <v>190</v>
      </c>
      <c r="J18" s="25"/>
      <c r="K18" s="25" t="s">
        <v>192</v>
      </c>
      <c r="L18" s="25" t="s">
        <v>193</v>
      </c>
      <c r="M18" s="25" t="s">
        <v>191</v>
      </c>
      <c r="N18" s="25"/>
      <c r="O18" s="23" t="s">
        <v>386</v>
      </c>
      <c r="P18" s="23" t="s">
        <v>388</v>
      </c>
      <c r="Q18" s="35">
        <v>1</v>
      </c>
    </row>
    <row r="19" spans="1:17" x14ac:dyDescent="0.3">
      <c r="A19" s="11">
        <v>2024</v>
      </c>
      <c r="B19" s="3" t="s">
        <v>146</v>
      </c>
      <c r="C19" s="3" t="s">
        <v>145</v>
      </c>
      <c r="D19" s="3" t="s">
        <v>147</v>
      </c>
      <c r="E19" s="3" t="s">
        <v>6</v>
      </c>
      <c r="F19" s="3" t="s">
        <v>127</v>
      </c>
      <c r="G19" s="3" t="s">
        <v>355</v>
      </c>
      <c r="H19" s="7">
        <v>0</v>
      </c>
      <c r="I19" s="4" t="s">
        <v>190</v>
      </c>
      <c r="J19" s="4"/>
      <c r="K19" s="4"/>
      <c r="L19" s="4"/>
      <c r="M19" s="4" t="s">
        <v>191</v>
      </c>
      <c r="N19" s="4"/>
      <c r="O19" s="7" t="s">
        <v>354</v>
      </c>
      <c r="P19" s="7" t="s">
        <v>356</v>
      </c>
      <c r="Q19" s="36">
        <v>1</v>
      </c>
    </row>
    <row r="20" spans="1:17" x14ac:dyDescent="0.3">
      <c r="A20" s="11">
        <v>2025</v>
      </c>
      <c r="B20" s="24" t="s">
        <v>149</v>
      </c>
      <c r="C20" s="24" t="s">
        <v>148</v>
      </c>
      <c r="D20" s="24" t="s">
        <v>150</v>
      </c>
      <c r="E20" s="24" t="s">
        <v>6</v>
      </c>
      <c r="F20" s="24" t="s">
        <v>127</v>
      </c>
      <c r="G20" s="24" t="s">
        <v>311</v>
      </c>
      <c r="H20" s="23">
        <v>0</v>
      </c>
      <c r="I20" s="25" t="s">
        <v>190</v>
      </c>
      <c r="J20" s="25" t="s">
        <v>195</v>
      </c>
      <c r="K20" s="25"/>
      <c r="L20" s="25" t="s">
        <v>193</v>
      </c>
      <c r="M20" s="25"/>
      <c r="N20" s="25"/>
      <c r="O20" s="23" t="s">
        <v>407</v>
      </c>
      <c r="P20" s="23" t="s">
        <v>408</v>
      </c>
      <c r="Q20" s="35">
        <v>1</v>
      </c>
    </row>
    <row r="21" spans="1:17" x14ac:dyDescent="0.3">
      <c r="A21" s="11">
        <v>2025</v>
      </c>
      <c r="B21" s="3" t="s">
        <v>472</v>
      </c>
      <c r="C21" s="3" t="s">
        <v>473</v>
      </c>
      <c r="D21" s="3" t="s">
        <v>474</v>
      </c>
      <c r="E21" s="3" t="s">
        <v>475</v>
      </c>
      <c r="F21" s="3" t="s">
        <v>102</v>
      </c>
      <c r="G21" s="7" t="s">
        <v>487</v>
      </c>
      <c r="H21" s="7">
        <v>0</v>
      </c>
      <c r="I21" s="4" t="s">
        <v>190</v>
      </c>
      <c r="J21" s="4"/>
      <c r="K21" s="4"/>
      <c r="L21" s="4"/>
      <c r="M21" s="4"/>
      <c r="N21" s="4"/>
      <c r="O21" s="7" t="s">
        <v>489</v>
      </c>
      <c r="P21" s="7" t="s">
        <v>488</v>
      </c>
      <c r="Q21" s="36">
        <v>1</v>
      </c>
    </row>
    <row r="22" spans="1:17" x14ac:dyDescent="0.3">
      <c r="A22" s="12">
        <v>2025</v>
      </c>
      <c r="B22" s="24" t="s">
        <v>466</v>
      </c>
      <c r="C22" s="14" t="s">
        <v>467</v>
      </c>
      <c r="D22" s="24" t="s">
        <v>468</v>
      </c>
      <c r="E22" s="24" t="s">
        <v>6</v>
      </c>
      <c r="F22" s="24" t="s">
        <v>7</v>
      </c>
      <c r="G22" s="24" t="s">
        <v>198</v>
      </c>
      <c r="H22" s="23">
        <v>0</v>
      </c>
      <c r="I22" s="25" t="s">
        <v>190</v>
      </c>
      <c r="J22" s="25"/>
      <c r="K22" s="25"/>
      <c r="L22" s="25" t="s">
        <v>193</v>
      </c>
      <c r="M22" s="25"/>
      <c r="N22" s="25"/>
      <c r="O22" s="23" t="s">
        <v>494</v>
      </c>
      <c r="P22" s="23" t="s">
        <v>495</v>
      </c>
      <c r="Q22" s="35">
        <v>1</v>
      </c>
    </row>
    <row r="23" spans="1:17" x14ac:dyDescent="0.3">
      <c r="A23" s="12">
        <v>2025</v>
      </c>
      <c r="B23" s="3" t="s">
        <v>469</v>
      </c>
      <c r="C23" s="3" t="s">
        <v>470</v>
      </c>
      <c r="D23" s="3" t="s">
        <v>471</v>
      </c>
      <c r="E23" s="3" t="s">
        <v>85</v>
      </c>
      <c r="F23" s="3" t="s">
        <v>86</v>
      </c>
      <c r="G23" s="3" t="s">
        <v>179</v>
      </c>
      <c r="H23" s="7">
        <v>0</v>
      </c>
      <c r="I23" s="4" t="s">
        <v>190</v>
      </c>
      <c r="J23" s="4"/>
      <c r="K23" s="4"/>
      <c r="L23" s="4" t="s">
        <v>193</v>
      </c>
      <c r="M23" s="4"/>
      <c r="N23" s="4"/>
      <c r="O23" s="7" t="s">
        <v>492</v>
      </c>
      <c r="P23" s="7" t="s">
        <v>493</v>
      </c>
      <c r="Q23" s="36">
        <v>1</v>
      </c>
    </row>
    <row r="24" spans="1:17" x14ac:dyDescent="0.3">
      <c r="A24" s="45">
        <v>2025</v>
      </c>
      <c r="B24" s="46" t="s">
        <v>222</v>
      </c>
      <c r="C24" s="46" t="s">
        <v>223</v>
      </c>
      <c r="D24" s="46" t="s">
        <v>224</v>
      </c>
      <c r="E24" s="46" t="s">
        <v>6</v>
      </c>
      <c r="F24" s="46" t="s">
        <v>7</v>
      </c>
      <c r="G24" s="46" t="s">
        <v>421</v>
      </c>
      <c r="H24" s="47">
        <v>0</v>
      </c>
      <c r="I24" s="48" t="s">
        <v>190</v>
      </c>
      <c r="J24" s="48"/>
      <c r="K24" s="48" t="s">
        <v>192</v>
      </c>
      <c r="L24" s="48"/>
      <c r="M24" s="48" t="s">
        <v>191</v>
      </c>
      <c r="N24" s="48"/>
      <c r="O24" s="47" t="s">
        <v>422</v>
      </c>
      <c r="P24" s="47" t="s">
        <v>423</v>
      </c>
      <c r="Q24" s="49">
        <v>1</v>
      </c>
    </row>
  </sheetData>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21"/>
  <sheetViews>
    <sheetView zoomScaleNormal="100" workbookViewId="0"/>
  </sheetViews>
  <sheetFormatPr defaultRowHeight="14.4" x14ac:dyDescent="0.3"/>
  <cols>
    <col min="2" max="2" width="9.77734375" customWidth="1"/>
    <col min="4" max="4" width="10" customWidth="1"/>
    <col min="5" max="5" width="17.77734375" customWidth="1"/>
    <col min="6" max="6" width="11.109375" customWidth="1"/>
    <col min="7" max="7" width="9.21875" customWidth="1"/>
    <col min="8" max="8" width="9" customWidth="1"/>
    <col min="9" max="9" width="18.88671875" customWidth="1"/>
    <col min="10" max="10" width="13.88671875" customWidth="1"/>
    <col min="11" max="11" width="12.109375" customWidth="1"/>
    <col min="12" max="12" width="15.109375" customWidth="1"/>
    <col min="13" max="13" width="14.88671875" customWidth="1"/>
    <col min="14" max="14" width="15.88671875" customWidth="1"/>
    <col min="15" max="15" width="19.77734375" customWidth="1"/>
    <col min="16" max="16" width="27.21875" customWidth="1"/>
    <col min="17" max="17" width="10.5546875" customWidth="1"/>
    <col min="20" max="20" width="12.77734375" bestFit="1" customWidth="1"/>
    <col min="21" max="21" width="21.33203125" bestFit="1" customWidth="1"/>
    <col min="22" max="22" width="18.21875" bestFit="1" customWidth="1"/>
    <col min="23" max="23" width="21.109375" bestFit="1" customWidth="1"/>
    <col min="24" max="24" width="25.21875" bestFit="1" customWidth="1"/>
    <col min="25" max="25" width="20" bestFit="1" customWidth="1"/>
    <col min="26" max="26" width="22.109375" bestFit="1" customWidth="1"/>
  </cols>
  <sheetData>
    <row r="1" spans="1:26" x14ac:dyDescent="0.3">
      <c r="A1" s="37" t="s">
        <v>0</v>
      </c>
      <c r="B1" s="38" t="s">
        <v>1</v>
      </c>
      <c r="C1" s="38" t="s">
        <v>2</v>
      </c>
      <c r="D1" s="38" t="s">
        <v>3</v>
      </c>
      <c r="E1" s="38" t="s">
        <v>4</v>
      </c>
      <c r="F1" s="38" t="s">
        <v>5</v>
      </c>
      <c r="G1" s="38" t="s">
        <v>173</v>
      </c>
      <c r="H1" s="38" t="s">
        <v>504</v>
      </c>
      <c r="I1" s="39" t="s">
        <v>439</v>
      </c>
      <c r="J1" s="39" t="s">
        <v>284</v>
      </c>
      <c r="K1" s="39" t="s">
        <v>285</v>
      </c>
      <c r="L1" s="38" t="s">
        <v>286</v>
      </c>
      <c r="M1" s="38" t="s">
        <v>289</v>
      </c>
      <c r="N1" s="38" t="s">
        <v>300</v>
      </c>
      <c r="O1" s="40" t="s">
        <v>174</v>
      </c>
      <c r="P1" s="40" t="s">
        <v>253</v>
      </c>
      <c r="Q1" s="41" t="s">
        <v>252</v>
      </c>
    </row>
    <row r="2" spans="1:26" x14ac:dyDescent="0.3">
      <c r="A2" s="8">
        <v>2020</v>
      </c>
      <c r="B2" s="24" t="s">
        <v>82</v>
      </c>
      <c r="C2" s="24" t="s">
        <v>83</v>
      </c>
      <c r="D2" s="24" t="s">
        <v>84</v>
      </c>
      <c r="E2" s="24" t="s">
        <v>6</v>
      </c>
      <c r="F2" s="24" t="s">
        <v>7</v>
      </c>
      <c r="G2" s="24" t="s">
        <v>177</v>
      </c>
      <c r="H2" s="23">
        <v>0</v>
      </c>
      <c r="I2" s="25"/>
      <c r="J2" s="25"/>
      <c r="K2" s="25"/>
      <c r="L2" s="31" t="s">
        <v>193</v>
      </c>
      <c r="M2" s="31"/>
      <c r="N2" s="31"/>
      <c r="O2" s="23" t="s">
        <v>258</v>
      </c>
      <c r="P2" s="32" t="s">
        <v>259</v>
      </c>
      <c r="Q2" s="35">
        <v>1</v>
      </c>
    </row>
    <row r="3" spans="1:26" x14ac:dyDescent="0.3">
      <c r="A3" s="9">
        <v>2021</v>
      </c>
      <c r="B3" s="3" t="s">
        <v>110</v>
      </c>
      <c r="C3" s="3" t="s">
        <v>111</v>
      </c>
      <c r="D3" s="3" t="s">
        <v>112</v>
      </c>
      <c r="E3" s="3" t="s">
        <v>101</v>
      </c>
      <c r="F3" s="3" t="s">
        <v>102</v>
      </c>
      <c r="G3" s="3" t="s">
        <v>184</v>
      </c>
      <c r="H3" s="3" t="s">
        <v>507</v>
      </c>
      <c r="I3" s="4"/>
      <c r="J3" s="4"/>
      <c r="K3" s="4" t="s">
        <v>192</v>
      </c>
      <c r="L3" s="4" t="s">
        <v>193</v>
      </c>
      <c r="M3" s="4"/>
      <c r="N3" s="4"/>
      <c r="O3" s="7" t="s">
        <v>188</v>
      </c>
      <c r="P3" s="7" t="s">
        <v>275</v>
      </c>
      <c r="Q3" s="36">
        <v>1</v>
      </c>
      <c r="T3" s="29" t="s">
        <v>497</v>
      </c>
      <c r="U3" s="3" t="s">
        <v>501</v>
      </c>
      <c r="V3" s="3" t="s">
        <v>500</v>
      </c>
      <c r="W3" s="3" t="s">
        <v>502</v>
      </c>
      <c r="X3" s="3" t="s">
        <v>498</v>
      </c>
      <c r="Y3" s="3" t="s">
        <v>499</v>
      </c>
      <c r="Z3" s="3" t="s">
        <v>503</v>
      </c>
    </row>
    <row r="4" spans="1:26" x14ac:dyDescent="0.3">
      <c r="A4" s="9">
        <v>2021</v>
      </c>
      <c r="B4" s="24" t="s">
        <v>74</v>
      </c>
      <c r="C4" s="24" t="s">
        <v>75</v>
      </c>
      <c r="D4" s="24" t="s">
        <v>76</v>
      </c>
      <c r="E4" s="24" t="s">
        <v>6</v>
      </c>
      <c r="F4" s="24" t="s">
        <v>7</v>
      </c>
      <c r="G4" s="33" t="s">
        <v>184</v>
      </c>
      <c r="H4" s="24" t="s">
        <v>513</v>
      </c>
      <c r="I4" s="25" t="s">
        <v>190</v>
      </c>
      <c r="J4" s="25"/>
      <c r="K4" s="25"/>
      <c r="L4" s="25" t="s">
        <v>193</v>
      </c>
      <c r="M4" s="25"/>
      <c r="N4" s="25"/>
      <c r="O4" s="23" t="s">
        <v>185</v>
      </c>
      <c r="P4" s="23" t="s">
        <v>273</v>
      </c>
      <c r="Q4" s="35">
        <v>1</v>
      </c>
      <c r="T4" s="7">
        <v>2020</v>
      </c>
      <c r="U4" s="7">
        <v>1</v>
      </c>
      <c r="V4" s="7"/>
      <c r="W4" s="7"/>
      <c r="X4" s="7"/>
      <c r="Y4" s="7"/>
      <c r="Z4" s="7"/>
    </row>
    <row r="5" spans="1:26" x14ac:dyDescent="0.3">
      <c r="A5" s="10">
        <v>2022</v>
      </c>
      <c r="B5" s="3" t="s">
        <v>167</v>
      </c>
      <c r="C5" s="3" t="s">
        <v>168</v>
      </c>
      <c r="D5" s="3" t="s">
        <v>169</v>
      </c>
      <c r="E5" s="3" t="s">
        <v>6</v>
      </c>
      <c r="F5" s="3" t="s">
        <v>163</v>
      </c>
      <c r="G5" s="3" t="s">
        <v>317</v>
      </c>
      <c r="H5" s="7">
        <v>0</v>
      </c>
      <c r="I5" s="4"/>
      <c r="J5" s="4"/>
      <c r="K5" s="4" t="s">
        <v>192</v>
      </c>
      <c r="L5" s="4" t="s">
        <v>193</v>
      </c>
      <c r="M5" s="4" t="s">
        <v>191</v>
      </c>
      <c r="N5" s="4"/>
      <c r="O5" s="7" t="s">
        <v>318</v>
      </c>
      <c r="P5" s="7" t="s">
        <v>316</v>
      </c>
      <c r="Q5" s="36">
        <v>1</v>
      </c>
      <c r="T5" s="7">
        <v>2021</v>
      </c>
      <c r="U5" s="7">
        <v>2</v>
      </c>
      <c r="V5" s="7">
        <v>1</v>
      </c>
      <c r="W5" s="7"/>
      <c r="X5" s="7">
        <v>1</v>
      </c>
      <c r="Y5" s="7"/>
      <c r="Z5" s="7"/>
    </row>
    <row r="6" spans="1:26" x14ac:dyDescent="0.3">
      <c r="A6" s="10">
        <v>2022</v>
      </c>
      <c r="B6" s="24" t="s">
        <v>53</v>
      </c>
      <c r="C6" s="24" t="s">
        <v>54</v>
      </c>
      <c r="D6" s="24" t="s">
        <v>55</v>
      </c>
      <c r="E6" s="24" t="s">
        <v>6</v>
      </c>
      <c r="F6" s="24" t="s">
        <v>7</v>
      </c>
      <c r="G6" s="24" t="s">
        <v>283</v>
      </c>
      <c r="H6" s="23">
        <v>0</v>
      </c>
      <c r="I6" s="25"/>
      <c r="J6" s="25"/>
      <c r="K6" s="28"/>
      <c r="L6" s="25" t="s">
        <v>193</v>
      </c>
      <c r="M6" s="25"/>
      <c r="N6" s="25"/>
      <c r="O6" s="23" t="s">
        <v>312</v>
      </c>
      <c r="P6" s="23"/>
      <c r="Q6" s="35">
        <v>1</v>
      </c>
      <c r="T6" s="7">
        <v>2022</v>
      </c>
      <c r="U6" s="7">
        <v>2</v>
      </c>
      <c r="V6" s="7">
        <v>1</v>
      </c>
      <c r="W6" s="7">
        <v>1</v>
      </c>
      <c r="X6" s="7"/>
      <c r="Y6" s="7"/>
      <c r="Z6" s="7"/>
    </row>
    <row r="7" spans="1:26" x14ac:dyDescent="0.3">
      <c r="A7" s="11">
        <v>2023</v>
      </c>
      <c r="B7" s="3" t="s">
        <v>447</v>
      </c>
      <c r="C7" s="3" t="s">
        <v>448</v>
      </c>
      <c r="D7" s="3" t="s">
        <v>449</v>
      </c>
      <c r="E7" s="3" t="s">
        <v>85</v>
      </c>
      <c r="F7" s="3" t="s">
        <v>86</v>
      </c>
      <c r="G7" s="3" t="s">
        <v>322</v>
      </c>
      <c r="H7" s="7">
        <v>0</v>
      </c>
      <c r="I7" s="4" t="s">
        <v>190</v>
      </c>
      <c r="J7" s="4"/>
      <c r="K7" s="4"/>
      <c r="L7" s="4" t="s">
        <v>193</v>
      </c>
      <c r="M7" s="4"/>
      <c r="N7" s="4"/>
      <c r="O7" s="3" t="s">
        <v>478</v>
      </c>
      <c r="P7" s="7" t="s">
        <v>480</v>
      </c>
      <c r="Q7" s="36">
        <v>1</v>
      </c>
      <c r="T7" s="7">
        <v>2023</v>
      </c>
      <c r="U7" s="7">
        <v>2</v>
      </c>
      <c r="V7" s="7"/>
      <c r="W7" s="7">
        <v>1</v>
      </c>
      <c r="X7" s="7">
        <v>1</v>
      </c>
      <c r="Y7" s="7"/>
      <c r="Z7" s="7"/>
    </row>
    <row r="8" spans="1:26" x14ac:dyDescent="0.3">
      <c r="A8" s="11">
        <v>2023</v>
      </c>
      <c r="B8" s="24" t="s">
        <v>92</v>
      </c>
      <c r="C8" s="24" t="s">
        <v>93</v>
      </c>
      <c r="D8" s="24" t="s">
        <v>94</v>
      </c>
      <c r="E8" s="24" t="s">
        <v>85</v>
      </c>
      <c r="F8" s="24" t="s">
        <v>86</v>
      </c>
      <c r="G8" s="24" t="s">
        <v>344</v>
      </c>
      <c r="H8" s="23">
        <v>0</v>
      </c>
      <c r="I8" s="25"/>
      <c r="J8" s="25"/>
      <c r="K8" s="25"/>
      <c r="L8" s="25" t="s">
        <v>193</v>
      </c>
      <c r="M8" s="25" t="s">
        <v>191</v>
      </c>
      <c r="N8" s="25"/>
      <c r="O8" s="23" t="s">
        <v>345</v>
      </c>
      <c r="P8" s="23" t="s">
        <v>346</v>
      </c>
      <c r="Q8" s="35">
        <v>1</v>
      </c>
      <c r="T8" s="7">
        <v>2024</v>
      </c>
      <c r="U8" s="7">
        <v>8</v>
      </c>
      <c r="V8" s="7">
        <v>7</v>
      </c>
      <c r="W8" s="7">
        <v>6</v>
      </c>
      <c r="X8" s="7">
        <v>3</v>
      </c>
      <c r="Y8" s="7"/>
      <c r="Z8" s="7">
        <v>1</v>
      </c>
    </row>
    <row r="9" spans="1:26" x14ac:dyDescent="0.3">
      <c r="A9" s="12">
        <v>2024</v>
      </c>
      <c r="B9" s="3" t="s">
        <v>457</v>
      </c>
      <c r="C9" s="3" t="s">
        <v>458</v>
      </c>
      <c r="D9" s="3" t="s">
        <v>459</v>
      </c>
      <c r="E9" s="3" t="s">
        <v>85</v>
      </c>
      <c r="F9" s="3" t="s">
        <v>86</v>
      </c>
      <c r="G9" s="3" t="s">
        <v>198</v>
      </c>
      <c r="H9" s="7">
        <v>0</v>
      </c>
      <c r="I9" s="4" t="s">
        <v>190</v>
      </c>
      <c r="J9" s="4"/>
      <c r="K9" s="4" t="s">
        <v>192</v>
      </c>
      <c r="L9" s="4" t="s">
        <v>193</v>
      </c>
      <c r="M9" s="4"/>
      <c r="N9" s="4"/>
      <c r="O9" s="7" t="s">
        <v>485</v>
      </c>
      <c r="P9" s="7" t="s">
        <v>486</v>
      </c>
      <c r="Q9" s="36">
        <v>1</v>
      </c>
      <c r="T9" s="7">
        <v>2025</v>
      </c>
      <c r="U9" s="7">
        <v>5</v>
      </c>
      <c r="V9" s="7">
        <v>2</v>
      </c>
      <c r="W9" s="7">
        <v>2</v>
      </c>
      <c r="X9" s="7">
        <v>3</v>
      </c>
      <c r="Y9" s="7">
        <v>3</v>
      </c>
      <c r="Z9" s="7"/>
    </row>
    <row r="10" spans="1:26" x14ac:dyDescent="0.3">
      <c r="A10" s="12">
        <v>2024</v>
      </c>
      <c r="B10" s="24" t="s">
        <v>208</v>
      </c>
      <c r="C10" s="24" t="s">
        <v>209</v>
      </c>
      <c r="D10" s="24" t="s">
        <v>210</v>
      </c>
      <c r="E10" s="24" t="s">
        <v>211</v>
      </c>
      <c r="F10" s="24" t="s">
        <v>102</v>
      </c>
      <c r="G10" s="24" t="s">
        <v>384</v>
      </c>
      <c r="H10" s="23">
        <v>0</v>
      </c>
      <c r="I10" s="25" t="s">
        <v>190</v>
      </c>
      <c r="J10" s="25"/>
      <c r="K10" s="25" t="s">
        <v>192</v>
      </c>
      <c r="L10" s="25" t="s">
        <v>193</v>
      </c>
      <c r="M10" s="25" t="s">
        <v>191</v>
      </c>
      <c r="N10" s="25"/>
      <c r="O10" s="23" t="s">
        <v>383</v>
      </c>
      <c r="P10" s="23" t="s">
        <v>385</v>
      </c>
      <c r="Q10" s="35">
        <v>1</v>
      </c>
      <c r="T10" s="7" t="s">
        <v>496</v>
      </c>
      <c r="U10" s="7">
        <v>20</v>
      </c>
      <c r="V10" s="7">
        <v>11</v>
      </c>
      <c r="W10" s="7">
        <v>10</v>
      </c>
      <c r="X10" s="7">
        <v>8</v>
      </c>
      <c r="Y10" s="7">
        <v>3</v>
      </c>
      <c r="Z10" s="7">
        <v>1</v>
      </c>
    </row>
    <row r="11" spans="1:26" x14ac:dyDescent="0.3">
      <c r="A11" s="12">
        <v>2024</v>
      </c>
      <c r="B11" s="3" t="s">
        <v>212</v>
      </c>
      <c r="C11" s="3" t="s">
        <v>213</v>
      </c>
      <c r="D11" s="3" t="s">
        <v>214</v>
      </c>
      <c r="E11" s="3" t="s">
        <v>6</v>
      </c>
      <c r="F11" s="3" t="s">
        <v>7</v>
      </c>
      <c r="G11" s="3" t="s">
        <v>387</v>
      </c>
      <c r="H11" s="7">
        <v>0</v>
      </c>
      <c r="I11" s="4" t="s">
        <v>190</v>
      </c>
      <c r="J11" s="4"/>
      <c r="K11" s="4" t="s">
        <v>192</v>
      </c>
      <c r="L11" s="4" t="s">
        <v>193</v>
      </c>
      <c r="M11" s="4" t="s">
        <v>191</v>
      </c>
      <c r="N11" s="4"/>
      <c r="O11" s="7" t="s">
        <v>386</v>
      </c>
      <c r="P11" s="7" t="s">
        <v>388</v>
      </c>
      <c r="Q11" s="36">
        <v>1</v>
      </c>
    </row>
    <row r="12" spans="1:26" x14ac:dyDescent="0.3">
      <c r="A12" s="12">
        <v>2024</v>
      </c>
      <c r="B12" s="24" t="s">
        <v>202</v>
      </c>
      <c r="C12" s="24" t="s">
        <v>203</v>
      </c>
      <c r="D12" s="24" t="s">
        <v>204</v>
      </c>
      <c r="E12" s="24" t="s">
        <v>6</v>
      </c>
      <c r="F12" s="24" t="s">
        <v>7</v>
      </c>
      <c r="G12" s="24" t="s">
        <v>322</v>
      </c>
      <c r="H12" s="23">
        <v>0</v>
      </c>
      <c r="I12" s="25"/>
      <c r="J12" s="25"/>
      <c r="K12" s="25" t="s">
        <v>192</v>
      </c>
      <c r="L12" s="25" t="s">
        <v>193</v>
      </c>
      <c r="M12" s="25" t="s">
        <v>191</v>
      </c>
      <c r="N12" s="25" t="s">
        <v>301</v>
      </c>
      <c r="O12" s="23" t="s">
        <v>377</v>
      </c>
      <c r="P12" s="23" t="s">
        <v>379</v>
      </c>
      <c r="Q12" s="35">
        <v>1</v>
      </c>
    </row>
    <row r="13" spans="1:26" x14ac:dyDescent="0.3">
      <c r="A13" s="12">
        <v>2024</v>
      </c>
      <c r="B13" s="3" t="s">
        <v>32</v>
      </c>
      <c r="C13" s="3" t="s">
        <v>33</v>
      </c>
      <c r="D13" s="3" t="s">
        <v>34</v>
      </c>
      <c r="E13" s="3" t="s">
        <v>6</v>
      </c>
      <c r="F13" s="3" t="s">
        <v>7</v>
      </c>
      <c r="G13" s="3" t="s">
        <v>373</v>
      </c>
      <c r="H13" s="7">
        <v>0</v>
      </c>
      <c r="I13" s="4"/>
      <c r="J13" s="4"/>
      <c r="K13" s="4" t="s">
        <v>192</v>
      </c>
      <c r="L13" s="4" t="s">
        <v>193</v>
      </c>
      <c r="M13" s="4" t="s">
        <v>191</v>
      </c>
      <c r="N13" s="4"/>
      <c r="O13" s="7" t="s">
        <v>372</v>
      </c>
      <c r="P13" s="7" t="s">
        <v>374</v>
      </c>
      <c r="Q13" s="36">
        <v>1</v>
      </c>
    </row>
    <row r="14" spans="1:26" x14ac:dyDescent="0.3">
      <c r="A14" s="12">
        <v>2024</v>
      </c>
      <c r="B14" s="24" t="s">
        <v>29</v>
      </c>
      <c r="C14" s="24" t="s">
        <v>30</v>
      </c>
      <c r="D14" s="24" t="s">
        <v>31</v>
      </c>
      <c r="E14" s="24" t="s">
        <v>6</v>
      </c>
      <c r="F14" s="24" t="s">
        <v>7</v>
      </c>
      <c r="G14" s="24" t="s">
        <v>366</v>
      </c>
      <c r="H14" s="23">
        <v>0</v>
      </c>
      <c r="I14" s="25"/>
      <c r="J14" s="25"/>
      <c r="K14" s="25" t="s">
        <v>192</v>
      </c>
      <c r="L14" s="25" t="s">
        <v>193</v>
      </c>
      <c r="M14" s="25" t="s">
        <v>191</v>
      </c>
      <c r="N14" s="25"/>
      <c r="O14" s="23" t="s">
        <v>367</v>
      </c>
      <c r="P14" s="23" t="s">
        <v>368</v>
      </c>
      <c r="Q14" s="35">
        <v>1</v>
      </c>
    </row>
    <row r="15" spans="1:26" x14ac:dyDescent="0.3">
      <c r="A15" s="12">
        <v>2024</v>
      </c>
      <c r="B15" s="3" t="s">
        <v>38</v>
      </c>
      <c r="C15" s="3" t="s">
        <v>39</v>
      </c>
      <c r="D15" s="3" t="s">
        <v>40</v>
      </c>
      <c r="E15" s="3" t="s">
        <v>6</v>
      </c>
      <c r="F15" s="3" t="s">
        <v>7</v>
      </c>
      <c r="G15" s="3" t="s">
        <v>369</v>
      </c>
      <c r="H15" s="7">
        <v>0</v>
      </c>
      <c r="I15" s="4"/>
      <c r="J15" s="4"/>
      <c r="K15" s="22" t="s">
        <v>192</v>
      </c>
      <c r="L15" s="4" t="s">
        <v>193</v>
      </c>
      <c r="M15" s="4" t="s">
        <v>191</v>
      </c>
      <c r="N15" s="4"/>
      <c r="O15" s="7" t="s">
        <v>370</v>
      </c>
      <c r="P15" s="7" t="s">
        <v>371</v>
      </c>
      <c r="Q15" s="36">
        <v>1</v>
      </c>
    </row>
    <row r="16" spans="1:26" x14ac:dyDescent="0.3">
      <c r="A16" s="12">
        <v>2024</v>
      </c>
      <c r="B16" s="24" t="s">
        <v>215</v>
      </c>
      <c r="C16" s="24" t="s">
        <v>216</v>
      </c>
      <c r="D16" s="24" t="s">
        <v>217</v>
      </c>
      <c r="E16" s="24" t="s">
        <v>101</v>
      </c>
      <c r="F16" s="24" t="s">
        <v>102</v>
      </c>
      <c r="G16" s="24" t="s">
        <v>389</v>
      </c>
      <c r="H16" s="23">
        <v>0</v>
      </c>
      <c r="I16" s="25"/>
      <c r="J16" s="25"/>
      <c r="K16" s="25"/>
      <c r="L16" s="25" t="s">
        <v>193</v>
      </c>
      <c r="M16" s="25"/>
      <c r="N16" s="25"/>
      <c r="O16" s="23" t="s">
        <v>390</v>
      </c>
      <c r="P16" s="23" t="s">
        <v>391</v>
      </c>
      <c r="Q16" s="35">
        <v>1</v>
      </c>
    </row>
    <row r="17" spans="1:17" x14ac:dyDescent="0.3">
      <c r="A17" s="13">
        <v>2025</v>
      </c>
      <c r="B17" s="3" t="s">
        <v>15</v>
      </c>
      <c r="C17" s="3" t="s">
        <v>16</v>
      </c>
      <c r="D17" s="3" t="s">
        <v>17</v>
      </c>
      <c r="E17" s="3" t="s">
        <v>6</v>
      </c>
      <c r="F17" s="3" t="s">
        <v>7</v>
      </c>
      <c r="G17" s="3" t="s">
        <v>198</v>
      </c>
      <c r="H17" s="7">
        <v>0</v>
      </c>
      <c r="I17" s="4"/>
      <c r="J17" s="4" t="s">
        <v>195</v>
      </c>
      <c r="K17" s="4" t="s">
        <v>192</v>
      </c>
      <c r="L17" s="4" t="s">
        <v>193</v>
      </c>
      <c r="M17" s="4" t="s">
        <v>191</v>
      </c>
      <c r="N17" s="4"/>
      <c r="O17" s="7" t="s">
        <v>410</v>
      </c>
      <c r="P17" s="7" t="s">
        <v>409</v>
      </c>
      <c r="Q17" s="36">
        <v>1</v>
      </c>
    </row>
    <row r="18" spans="1:17" x14ac:dyDescent="0.3">
      <c r="A18" s="13">
        <v>2025</v>
      </c>
      <c r="B18" s="24" t="s">
        <v>8</v>
      </c>
      <c r="C18" s="24" t="s">
        <v>9</v>
      </c>
      <c r="D18" s="24" t="s">
        <v>10</v>
      </c>
      <c r="E18" s="24" t="s">
        <v>6</v>
      </c>
      <c r="F18" s="24" t="s">
        <v>7</v>
      </c>
      <c r="G18" s="24" t="s">
        <v>196</v>
      </c>
      <c r="H18" s="23">
        <v>0</v>
      </c>
      <c r="I18" s="25"/>
      <c r="J18" s="25" t="s">
        <v>195</v>
      </c>
      <c r="K18" s="25" t="s">
        <v>192</v>
      </c>
      <c r="L18" s="25" t="s">
        <v>193</v>
      </c>
      <c r="M18" s="25" t="s">
        <v>191</v>
      </c>
      <c r="N18" s="25"/>
      <c r="O18" s="23" t="s">
        <v>399</v>
      </c>
      <c r="P18" s="23" t="s">
        <v>400</v>
      </c>
      <c r="Q18" s="35">
        <v>1</v>
      </c>
    </row>
    <row r="19" spans="1:17" x14ac:dyDescent="0.3">
      <c r="A19" s="13">
        <v>2025</v>
      </c>
      <c r="B19" s="3" t="s">
        <v>149</v>
      </c>
      <c r="C19" s="3" t="s">
        <v>148</v>
      </c>
      <c r="D19" s="3" t="s">
        <v>150</v>
      </c>
      <c r="E19" s="3" t="s">
        <v>6</v>
      </c>
      <c r="F19" s="3" t="s">
        <v>127</v>
      </c>
      <c r="G19" s="3" t="s">
        <v>311</v>
      </c>
      <c r="H19" s="7">
        <v>0</v>
      </c>
      <c r="I19" s="4" t="s">
        <v>190</v>
      </c>
      <c r="J19" s="4" t="s">
        <v>195</v>
      </c>
      <c r="K19" s="4"/>
      <c r="L19" s="4" t="s">
        <v>193</v>
      </c>
      <c r="M19" s="4"/>
      <c r="N19" s="4"/>
      <c r="O19" s="7" t="s">
        <v>407</v>
      </c>
      <c r="P19" s="7" t="s">
        <v>408</v>
      </c>
      <c r="Q19" s="36">
        <v>1</v>
      </c>
    </row>
    <row r="20" spans="1:17" x14ac:dyDescent="0.3">
      <c r="A20" s="13">
        <v>2025</v>
      </c>
      <c r="B20" s="24" t="s">
        <v>466</v>
      </c>
      <c r="C20" s="24" t="s">
        <v>467</v>
      </c>
      <c r="D20" s="24" t="s">
        <v>468</v>
      </c>
      <c r="E20" s="24" t="s">
        <v>6</v>
      </c>
      <c r="F20" s="24" t="s">
        <v>7</v>
      </c>
      <c r="G20" s="24" t="s">
        <v>198</v>
      </c>
      <c r="H20" s="23">
        <v>0</v>
      </c>
      <c r="I20" s="25" t="s">
        <v>190</v>
      </c>
      <c r="J20" s="25"/>
      <c r="K20" s="25"/>
      <c r="L20" s="25" t="s">
        <v>193</v>
      </c>
      <c r="M20" s="25"/>
      <c r="N20" s="25"/>
      <c r="O20" s="23" t="s">
        <v>494</v>
      </c>
      <c r="P20" s="23" t="s">
        <v>495</v>
      </c>
      <c r="Q20" s="35">
        <v>1</v>
      </c>
    </row>
    <row r="21" spans="1:17" x14ac:dyDescent="0.3">
      <c r="A21" s="42">
        <v>2025</v>
      </c>
      <c r="B21" s="43" t="s">
        <v>469</v>
      </c>
      <c r="C21" s="43" t="s">
        <v>470</v>
      </c>
      <c r="D21" s="43" t="s">
        <v>471</v>
      </c>
      <c r="E21" s="43" t="s">
        <v>85</v>
      </c>
      <c r="F21" s="43" t="s">
        <v>86</v>
      </c>
      <c r="G21" s="43" t="s">
        <v>179</v>
      </c>
      <c r="H21" s="18">
        <v>0</v>
      </c>
      <c r="I21" s="20" t="s">
        <v>190</v>
      </c>
      <c r="J21" s="20"/>
      <c r="K21" s="20"/>
      <c r="L21" s="20" t="s">
        <v>193</v>
      </c>
      <c r="M21" s="20"/>
      <c r="N21" s="20"/>
      <c r="O21" s="47" t="s">
        <v>492</v>
      </c>
      <c r="P21" s="47" t="s">
        <v>493</v>
      </c>
      <c r="Q21" s="44">
        <v>1</v>
      </c>
    </row>
  </sheetData>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7"/>
  <sheetViews>
    <sheetView topLeftCell="S1" zoomScaleNormal="100" workbookViewId="0">
      <selection activeCell="Z8" sqref="T2:Z8"/>
    </sheetView>
  </sheetViews>
  <sheetFormatPr defaultRowHeight="14.4" x14ac:dyDescent="0.3"/>
  <cols>
    <col min="1" max="1" width="13.109375" customWidth="1"/>
    <col min="2" max="2" width="9.77734375" customWidth="1"/>
    <col min="4" max="4" width="10" customWidth="1"/>
    <col min="5" max="5" width="17.77734375" customWidth="1"/>
    <col min="6" max="6" width="11.109375" customWidth="1"/>
    <col min="7" max="7" width="9.21875" customWidth="1"/>
    <col min="8" max="8" width="9" customWidth="1"/>
    <col min="9" max="9" width="18.88671875" customWidth="1"/>
    <col min="10" max="10" width="13.88671875" customWidth="1"/>
    <col min="11" max="11" width="12.109375" customWidth="1"/>
    <col min="12" max="12" width="15.109375" customWidth="1"/>
    <col min="13" max="13" width="14.88671875" customWidth="1"/>
    <col min="14" max="14" width="15.88671875" customWidth="1"/>
    <col min="15" max="15" width="19.77734375" customWidth="1"/>
    <col min="16" max="16" width="27.21875" customWidth="1"/>
    <col min="17" max="17" width="10.5546875" customWidth="1"/>
    <col min="20" max="20" width="12.77734375" bestFit="1" customWidth="1"/>
    <col min="21" max="21" width="20" bestFit="1" customWidth="1"/>
    <col min="22" max="22" width="18.21875" bestFit="1" customWidth="1"/>
    <col min="23" max="23" width="21.109375" bestFit="1" customWidth="1"/>
    <col min="24" max="24" width="25.21875" bestFit="1" customWidth="1"/>
    <col min="25" max="25" width="21.33203125" bestFit="1" customWidth="1"/>
    <col min="26" max="26" width="22.109375" bestFit="1" customWidth="1"/>
  </cols>
  <sheetData>
    <row r="1" spans="1:26" x14ac:dyDescent="0.3">
      <c r="A1" s="2" t="s">
        <v>0</v>
      </c>
      <c r="B1" s="1" t="s">
        <v>1</v>
      </c>
      <c r="C1" s="1" t="s">
        <v>2</v>
      </c>
      <c r="D1" s="1" t="s">
        <v>3</v>
      </c>
      <c r="E1" s="1" t="s">
        <v>4</v>
      </c>
      <c r="F1" s="1" t="s">
        <v>5</v>
      </c>
      <c r="G1" s="1" t="s">
        <v>173</v>
      </c>
      <c r="H1" s="1" t="s">
        <v>504</v>
      </c>
      <c r="I1" s="30" t="s">
        <v>439</v>
      </c>
      <c r="J1" s="30" t="s">
        <v>284</v>
      </c>
      <c r="K1" s="30" t="s">
        <v>285</v>
      </c>
      <c r="L1" s="1" t="s">
        <v>286</v>
      </c>
      <c r="M1" s="1" t="s">
        <v>289</v>
      </c>
      <c r="N1" s="1" t="s">
        <v>300</v>
      </c>
      <c r="O1" s="16" t="s">
        <v>174</v>
      </c>
      <c r="P1" s="16" t="s">
        <v>253</v>
      </c>
      <c r="Q1" s="50" t="s">
        <v>252</v>
      </c>
    </row>
    <row r="2" spans="1:26" x14ac:dyDescent="0.3">
      <c r="A2" s="8">
        <v>2020</v>
      </c>
      <c r="B2" s="24" t="s">
        <v>71</v>
      </c>
      <c r="C2" s="24" t="s">
        <v>72</v>
      </c>
      <c r="D2" s="24" t="s">
        <v>73</v>
      </c>
      <c r="E2" s="24" t="s">
        <v>6</v>
      </c>
      <c r="F2" s="24" t="s">
        <v>7</v>
      </c>
      <c r="G2" s="24" t="s">
        <v>194</v>
      </c>
      <c r="H2" s="24">
        <v>0</v>
      </c>
      <c r="I2" s="24"/>
      <c r="J2" s="24" t="s">
        <v>195</v>
      </c>
      <c r="K2" s="24"/>
      <c r="L2" s="24"/>
      <c r="M2" s="24"/>
      <c r="N2" s="24"/>
      <c r="O2" s="24" t="s">
        <v>176</v>
      </c>
      <c r="P2" s="24" t="s">
        <v>263</v>
      </c>
      <c r="Q2" s="33">
        <v>1</v>
      </c>
      <c r="T2" s="71" t="s">
        <v>497</v>
      </c>
      <c r="U2" s="7" t="s">
        <v>499</v>
      </c>
      <c r="V2" s="7" t="s">
        <v>500</v>
      </c>
      <c r="W2" s="7" t="s">
        <v>502</v>
      </c>
      <c r="X2" s="7" t="s">
        <v>498</v>
      </c>
      <c r="Y2" s="7" t="s">
        <v>501</v>
      </c>
      <c r="Z2" s="7" t="s">
        <v>503</v>
      </c>
    </row>
    <row r="3" spans="1:26" x14ac:dyDescent="0.3">
      <c r="A3" s="9">
        <v>2021</v>
      </c>
      <c r="B3" s="24" t="s">
        <v>62</v>
      </c>
      <c r="C3" s="24" t="s">
        <v>63</v>
      </c>
      <c r="D3" s="24" t="s">
        <v>64</v>
      </c>
      <c r="E3" s="24" t="s">
        <v>6</v>
      </c>
      <c r="F3" s="24" t="s">
        <v>7</v>
      </c>
      <c r="G3" s="24" t="s">
        <v>180</v>
      </c>
      <c r="H3" s="24" t="s">
        <v>512</v>
      </c>
      <c r="I3" s="24"/>
      <c r="J3" s="24" t="s">
        <v>195</v>
      </c>
      <c r="K3" s="24" t="s">
        <v>192</v>
      </c>
      <c r="L3" s="24"/>
      <c r="M3" s="24"/>
      <c r="N3" s="24"/>
      <c r="O3" s="24" t="s">
        <v>269</v>
      </c>
      <c r="P3" s="24" t="s">
        <v>270</v>
      </c>
      <c r="Q3" s="33">
        <v>1</v>
      </c>
      <c r="T3" s="7">
        <v>2020</v>
      </c>
      <c r="U3" s="7">
        <v>1</v>
      </c>
      <c r="V3" s="7"/>
      <c r="W3" s="7"/>
      <c r="X3" s="7"/>
      <c r="Y3" s="7"/>
      <c r="Z3" s="7"/>
    </row>
    <row r="4" spans="1:26" ht="15" customHeight="1" x14ac:dyDescent="0.3">
      <c r="A4" s="11">
        <v>2023</v>
      </c>
      <c r="B4" s="3" t="s">
        <v>240</v>
      </c>
      <c r="C4" s="3" t="s">
        <v>241</v>
      </c>
      <c r="D4" s="3" t="s">
        <v>242</v>
      </c>
      <c r="E4" s="3" t="s">
        <v>85</v>
      </c>
      <c r="F4" s="3" t="s">
        <v>86</v>
      </c>
      <c r="G4" s="3" t="s">
        <v>322</v>
      </c>
      <c r="H4" s="3">
        <v>0</v>
      </c>
      <c r="I4" s="3"/>
      <c r="J4" s="3" t="s">
        <v>195</v>
      </c>
      <c r="K4" s="3" t="s">
        <v>192</v>
      </c>
      <c r="L4" s="3"/>
      <c r="M4" s="3"/>
      <c r="N4" s="3"/>
      <c r="O4" s="3" t="s">
        <v>323</v>
      </c>
      <c r="P4" s="3" t="s">
        <v>324</v>
      </c>
      <c r="Q4" s="51">
        <v>1</v>
      </c>
      <c r="T4" s="7">
        <v>2021</v>
      </c>
      <c r="U4" s="7">
        <v>1</v>
      </c>
      <c r="V4" s="7">
        <v>1</v>
      </c>
      <c r="W4" s="7"/>
      <c r="X4" s="7"/>
      <c r="Y4" s="7"/>
      <c r="Z4" s="7"/>
    </row>
    <row r="5" spans="1:26" x14ac:dyDescent="0.3">
      <c r="A5" s="11">
        <v>2023</v>
      </c>
      <c r="B5" s="24" t="s">
        <v>138</v>
      </c>
      <c r="C5" s="24" t="s">
        <v>137</v>
      </c>
      <c r="D5" s="24" t="s">
        <v>139</v>
      </c>
      <c r="E5" s="24" t="s">
        <v>6</v>
      </c>
      <c r="F5" s="24" t="s">
        <v>127</v>
      </c>
      <c r="G5" s="24" t="s">
        <v>200</v>
      </c>
      <c r="H5" s="24">
        <v>0</v>
      </c>
      <c r="I5" s="24"/>
      <c r="J5" s="24" t="s">
        <v>195</v>
      </c>
      <c r="K5" s="24" t="s">
        <v>192</v>
      </c>
      <c r="L5" s="24"/>
      <c r="M5" s="24"/>
      <c r="N5" s="24" t="s">
        <v>301</v>
      </c>
      <c r="O5" s="24" t="s">
        <v>331</v>
      </c>
      <c r="P5" s="24" t="s">
        <v>332</v>
      </c>
      <c r="Q5" s="33">
        <v>1</v>
      </c>
      <c r="T5" s="7">
        <v>2023</v>
      </c>
      <c r="U5" s="7">
        <v>2</v>
      </c>
      <c r="V5" s="7">
        <v>2</v>
      </c>
      <c r="W5" s="7"/>
      <c r="X5" s="7"/>
      <c r="Y5" s="7"/>
      <c r="Z5" s="7">
        <v>1</v>
      </c>
    </row>
    <row r="6" spans="1:26" x14ac:dyDescent="0.3">
      <c r="A6" s="12">
        <v>2024</v>
      </c>
      <c r="B6" s="24" t="s">
        <v>434</v>
      </c>
      <c r="C6" s="24" t="s">
        <v>435</v>
      </c>
      <c r="D6" s="24" t="s">
        <v>436</v>
      </c>
      <c r="E6" s="24" t="s">
        <v>433</v>
      </c>
      <c r="F6" s="24" t="s">
        <v>102</v>
      </c>
      <c r="G6" s="24" t="s">
        <v>437</v>
      </c>
      <c r="H6" s="24">
        <v>0</v>
      </c>
      <c r="I6" s="24" t="s">
        <v>190</v>
      </c>
      <c r="J6" s="24" t="s">
        <v>195</v>
      </c>
      <c r="K6" s="24" t="s">
        <v>192</v>
      </c>
      <c r="L6" s="24"/>
      <c r="M6" s="24"/>
      <c r="N6" s="24"/>
      <c r="O6" s="24" t="s">
        <v>406</v>
      </c>
      <c r="P6" s="24"/>
      <c r="Q6" s="33">
        <v>1</v>
      </c>
      <c r="T6" s="7">
        <v>2024</v>
      </c>
      <c r="U6" s="7">
        <v>5</v>
      </c>
      <c r="V6" s="7">
        <v>4</v>
      </c>
      <c r="W6" s="7">
        <v>1</v>
      </c>
      <c r="X6" s="7">
        <v>2</v>
      </c>
      <c r="Y6" s="7"/>
      <c r="Z6" s="7"/>
    </row>
    <row r="7" spans="1:26" x14ac:dyDescent="0.3">
      <c r="A7" s="12">
        <v>2024</v>
      </c>
      <c r="B7" s="3" t="s">
        <v>460</v>
      </c>
      <c r="C7" s="3" t="s">
        <v>461</v>
      </c>
      <c r="D7" s="3" t="s">
        <v>462</v>
      </c>
      <c r="E7" s="3" t="s">
        <v>6</v>
      </c>
      <c r="F7" s="3" t="s">
        <v>7</v>
      </c>
      <c r="G7" s="3" t="s">
        <v>311</v>
      </c>
      <c r="H7" s="3">
        <v>0</v>
      </c>
      <c r="I7" s="3" t="s">
        <v>190</v>
      </c>
      <c r="J7" s="3" t="s">
        <v>195</v>
      </c>
      <c r="K7" s="3" t="s">
        <v>192</v>
      </c>
      <c r="L7" s="3"/>
      <c r="M7" s="3"/>
      <c r="N7" s="3"/>
      <c r="O7" s="3" t="s">
        <v>410</v>
      </c>
      <c r="P7" s="3" t="s">
        <v>490</v>
      </c>
      <c r="Q7" s="51">
        <v>1</v>
      </c>
      <c r="T7" s="7">
        <v>2025</v>
      </c>
      <c r="U7" s="7">
        <v>7</v>
      </c>
      <c r="V7" s="7">
        <v>5</v>
      </c>
      <c r="W7" s="7">
        <v>3</v>
      </c>
      <c r="X7" s="7">
        <v>1</v>
      </c>
      <c r="Y7" s="7">
        <v>3</v>
      </c>
      <c r="Z7" s="7"/>
    </row>
    <row r="8" spans="1:26" x14ac:dyDescent="0.3">
      <c r="A8" s="12">
        <v>2024</v>
      </c>
      <c r="B8" s="24" t="s">
        <v>228</v>
      </c>
      <c r="C8" s="24" t="s">
        <v>229</v>
      </c>
      <c r="D8" s="24" t="s">
        <v>230</v>
      </c>
      <c r="E8" s="24" t="s">
        <v>6</v>
      </c>
      <c r="F8" s="24" t="s">
        <v>7</v>
      </c>
      <c r="G8" s="24" t="s">
        <v>359</v>
      </c>
      <c r="H8" s="24">
        <v>0</v>
      </c>
      <c r="I8" s="24"/>
      <c r="J8" s="24" t="s">
        <v>195</v>
      </c>
      <c r="K8" s="24" t="s">
        <v>192</v>
      </c>
      <c r="L8" s="24"/>
      <c r="M8" s="24"/>
      <c r="N8" s="24"/>
      <c r="O8" s="24" t="s">
        <v>358</v>
      </c>
      <c r="P8" s="24" t="s">
        <v>360</v>
      </c>
      <c r="Q8" s="33">
        <v>1</v>
      </c>
      <c r="T8" s="7" t="s">
        <v>496</v>
      </c>
      <c r="U8" s="7">
        <v>16</v>
      </c>
      <c r="V8" s="7">
        <v>12</v>
      </c>
      <c r="W8" s="7">
        <v>4</v>
      </c>
      <c r="X8" s="7">
        <v>3</v>
      </c>
      <c r="Y8" s="7">
        <v>3</v>
      </c>
      <c r="Z8" s="7">
        <v>1</v>
      </c>
    </row>
    <row r="9" spans="1:26" x14ac:dyDescent="0.3">
      <c r="A9" s="12">
        <v>2024</v>
      </c>
      <c r="B9" s="24" t="s">
        <v>429</v>
      </c>
      <c r="C9" s="24" t="s">
        <v>430</v>
      </c>
      <c r="D9" s="24" t="s">
        <v>438</v>
      </c>
      <c r="E9" s="24" t="s">
        <v>428</v>
      </c>
      <c r="F9" s="24" t="s">
        <v>427</v>
      </c>
      <c r="G9" s="24" t="s">
        <v>282</v>
      </c>
      <c r="H9" s="24">
        <v>0</v>
      </c>
      <c r="I9" s="24"/>
      <c r="J9" s="24" t="s">
        <v>195</v>
      </c>
      <c r="K9" s="24" t="s">
        <v>192</v>
      </c>
      <c r="L9" s="24"/>
      <c r="M9" s="24" t="s">
        <v>191</v>
      </c>
      <c r="N9" s="24"/>
      <c r="O9" s="24" t="s">
        <v>431</v>
      </c>
      <c r="P9" s="24" t="s">
        <v>432</v>
      </c>
      <c r="Q9" s="33">
        <v>1</v>
      </c>
    </row>
    <row r="10" spans="1:26" x14ac:dyDescent="0.3">
      <c r="A10" s="12">
        <v>2024</v>
      </c>
      <c r="B10" s="3" t="s">
        <v>143</v>
      </c>
      <c r="C10" s="3" t="s">
        <v>142</v>
      </c>
      <c r="D10" s="3" t="s">
        <v>144</v>
      </c>
      <c r="E10" s="3" t="s">
        <v>6</v>
      </c>
      <c r="F10" s="3" t="s">
        <v>127</v>
      </c>
      <c r="G10" s="3" t="s">
        <v>378</v>
      </c>
      <c r="H10" s="3">
        <v>0</v>
      </c>
      <c r="I10" s="3"/>
      <c r="J10" s="3" t="s">
        <v>195</v>
      </c>
      <c r="K10" s="3"/>
      <c r="L10" s="3"/>
      <c r="M10" s="3"/>
      <c r="N10" s="3"/>
      <c r="O10" s="3" t="s">
        <v>376</v>
      </c>
      <c r="P10" s="3" t="s">
        <v>375</v>
      </c>
      <c r="Q10" s="51">
        <v>1</v>
      </c>
    </row>
    <row r="11" spans="1:26" x14ac:dyDescent="0.3">
      <c r="A11" s="13">
        <v>2025</v>
      </c>
      <c r="B11" s="24" t="s">
        <v>225</v>
      </c>
      <c r="C11" s="24" t="s">
        <v>226</v>
      </c>
      <c r="D11" s="24" t="s">
        <v>227</v>
      </c>
      <c r="E11" s="24" t="s">
        <v>6</v>
      </c>
      <c r="F11" s="24" t="s">
        <v>7</v>
      </c>
      <c r="G11" s="24" t="s">
        <v>425</v>
      </c>
      <c r="H11" s="24">
        <v>0</v>
      </c>
      <c r="I11" s="24"/>
      <c r="J11" s="24" t="s">
        <v>195</v>
      </c>
      <c r="K11" s="24" t="s">
        <v>192</v>
      </c>
      <c r="L11" s="24"/>
      <c r="M11" s="24"/>
      <c r="N11" s="24"/>
      <c r="O11" s="24" t="s">
        <v>424</v>
      </c>
      <c r="P11" s="24" t="s">
        <v>426</v>
      </c>
      <c r="Q11" s="33">
        <v>1</v>
      </c>
    </row>
    <row r="12" spans="1:26" x14ac:dyDescent="0.3">
      <c r="A12" s="13">
        <v>2025</v>
      </c>
      <c r="B12" s="24" t="s">
        <v>15</v>
      </c>
      <c r="C12" s="24" t="s">
        <v>16</v>
      </c>
      <c r="D12" s="24" t="s">
        <v>17</v>
      </c>
      <c r="E12" s="24" t="s">
        <v>6</v>
      </c>
      <c r="F12" s="24" t="s">
        <v>7</v>
      </c>
      <c r="G12" s="24" t="s">
        <v>198</v>
      </c>
      <c r="H12" s="24">
        <v>0</v>
      </c>
      <c r="I12" s="24"/>
      <c r="J12" s="24" t="s">
        <v>195</v>
      </c>
      <c r="K12" s="24" t="s">
        <v>192</v>
      </c>
      <c r="L12" s="24" t="s">
        <v>193</v>
      </c>
      <c r="M12" s="24" t="s">
        <v>191</v>
      </c>
      <c r="N12" s="24"/>
      <c r="O12" s="24" t="s">
        <v>410</v>
      </c>
      <c r="P12" s="24" t="s">
        <v>409</v>
      </c>
      <c r="Q12" s="33">
        <v>1</v>
      </c>
    </row>
    <row r="13" spans="1:26" x14ac:dyDescent="0.3">
      <c r="A13" s="13">
        <v>2025</v>
      </c>
      <c r="B13" s="3" t="s">
        <v>18</v>
      </c>
      <c r="C13" s="3" t="s">
        <v>19</v>
      </c>
      <c r="D13" s="3" t="s">
        <v>20</v>
      </c>
      <c r="E13" s="3" t="s">
        <v>6</v>
      </c>
      <c r="F13" s="3" t="s">
        <v>7</v>
      </c>
      <c r="G13" s="3" t="s">
        <v>411</v>
      </c>
      <c r="H13" s="3">
        <v>0</v>
      </c>
      <c r="I13" s="3"/>
      <c r="J13" s="3" t="s">
        <v>195</v>
      </c>
      <c r="K13" s="3" t="s">
        <v>192</v>
      </c>
      <c r="L13" s="3"/>
      <c r="M13" s="3"/>
      <c r="N13" s="3"/>
      <c r="O13" s="3" t="s">
        <v>412</v>
      </c>
      <c r="P13" s="3" t="s">
        <v>413</v>
      </c>
      <c r="Q13" s="51">
        <v>1</v>
      </c>
    </row>
    <row r="14" spans="1:26" x14ac:dyDescent="0.3">
      <c r="A14" s="13">
        <v>2025</v>
      </c>
      <c r="B14" s="24" t="s">
        <v>11</v>
      </c>
      <c r="C14" s="24" t="s">
        <v>12</v>
      </c>
      <c r="D14" s="24" t="s">
        <v>13</v>
      </c>
      <c r="E14" s="24" t="s">
        <v>6</v>
      </c>
      <c r="F14" s="24" t="s">
        <v>7</v>
      </c>
      <c r="G14" s="24" t="s">
        <v>196</v>
      </c>
      <c r="H14" s="24">
        <v>0</v>
      </c>
      <c r="I14" s="24"/>
      <c r="J14" s="24" t="s">
        <v>195</v>
      </c>
      <c r="K14" s="24" t="s">
        <v>192</v>
      </c>
      <c r="L14" s="24"/>
      <c r="M14" s="24"/>
      <c r="N14" s="24"/>
      <c r="O14" s="24" t="s">
        <v>404</v>
      </c>
      <c r="P14" s="24" t="s">
        <v>405</v>
      </c>
      <c r="Q14" s="33">
        <v>1</v>
      </c>
    </row>
    <row r="15" spans="1:26" x14ac:dyDescent="0.3">
      <c r="A15" s="13">
        <v>2025</v>
      </c>
      <c r="B15" s="24" t="s">
        <v>8</v>
      </c>
      <c r="C15" s="24" t="s">
        <v>9</v>
      </c>
      <c r="D15" s="24" t="s">
        <v>10</v>
      </c>
      <c r="E15" s="24" t="s">
        <v>6</v>
      </c>
      <c r="F15" s="24" t="s">
        <v>7</v>
      </c>
      <c r="G15" s="24" t="s">
        <v>196</v>
      </c>
      <c r="H15" s="24">
        <v>0</v>
      </c>
      <c r="I15" s="24"/>
      <c r="J15" s="24" t="s">
        <v>195</v>
      </c>
      <c r="K15" s="24" t="s">
        <v>192</v>
      </c>
      <c r="L15" s="24" t="s">
        <v>193</v>
      </c>
      <c r="M15" s="24" t="s">
        <v>191</v>
      </c>
      <c r="N15" s="24"/>
      <c r="O15" s="24" t="s">
        <v>399</v>
      </c>
      <c r="P15" s="24" t="s">
        <v>400</v>
      </c>
      <c r="Q15" s="33">
        <v>1</v>
      </c>
    </row>
    <row r="16" spans="1:26" x14ac:dyDescent="0.3">
      <c r="A16" s="13">
        <v>2025</v>
      </c>
      <c r="B16" s="3" t="s">
        <v>149</v>
      </c>
      <c r="C16" s="3" t="s">
        <v>148</v>
      </c>
      <c r="D16" s="3" t="s">
        <v>150</v>
      </c>
      <c r="E16" s="3" t="s">
        <v>6</v>
      </c>
      <c r="F16" s="3" t="s">
        <v>127</v>
      </c>
      <c r="G16" s="3" t="s">
        <v>311</v>
      </c>
      <c r="H16" s="3">
        <v>0</v>
      </c>
      <c r="I16" s="3" t="s">
        <v>190</v>
      </c>
      <c r="J16" s="3" t="s">
        <v>195</v>
      </c>
      <c r="K16" s="3"/>
      <c r="L16" s="3" t="s">
        <v>193</v>
      </c>
      <c r="M16" s="3"/>
      <c r="N16" s="3"/>
      <c r="O16" s="3" t="s">
        <v>407</v>
      </c>
      <c r="P16" s="3" t="s">
        <v>408</v>
      </c>
      <c r="Q16" s="51">
        <v>1</v>
      </c>
    </row>
    <row r="17" spans="1:17" x14ac:dyDescent="0.3">
      <c r="A17" s="42">
        <v>2025</v>
      </c>
      <c r="B17" s="46" t="s">
        <v>21</v>
      </c>
      <c r="C17" s="46" t="s">
        <v>22</v>
      </c>
      <c r="D17" s="46" t="s">
        <v>23</v>
      </c>
      <c r="E17" s="46" t="s">
        <v>6</v>
      </c>
      <c r="F17" s="46" t="s">
        <v>7</v>
      </c>
      <c r="G17" s="46" t="s">
        <v>357</v>
      </c>
      <c r="H17" s="46">
        <v>0</v>
      </c>
      <c r="I17" s="46"/>
      <c r="J17" s="46" t="s">
        <v>195</v>
      </c>
      <c r="K17" s="46"/>
      <c r="L17" s="46"/>
      <c r="M17" s="46" t="s">
        <v>191</v>
      </c>
      <c r="N17" s="46"/>
      <c r="O17" s="46" t="s">
        <v>416</v>
      </c>
      <c r="P17" s="46" t="s">
        <v>417</v>
      </c>
      <c r="Q17" s="52">
        <v>1</v>
      </c>
    </row>
  </sheetData>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20"/>
  <sheetViews>
    <sheetView zoomScale="80" zoomScaleNormal="80" workbookViewId="0">
      <selection activeCell="G22" sqref="G22"/>
    </sheetView>
  </sheetViews>
  <sheetFormatPr defaultRowHeight="14.4" x14ac:dyDescent="0.3"/>
  <cols>
    <col min="2" max="2" width="12.77734375" bestFit="1" customWidth="1"/>
    <col min="3" max="3" width="25.6640625" bestFit="1" customWidth="1"/>
    <col min="4" max="4" width="18.21875" bestFit="1" customWidth="1"/>
    <col min="5" max="5" width="21.109375" bestFit="1" customWidth="1"/>
    <col min="6" max="6" width="21.33203125" bestFit="1" customWidth="1"/>
    <col min="7" max="7" width="19.21875" customWidth="1"/>
    <col min="8" max="8" width="18.33203125" customWidth="1"/>
    <col min="9" max="9" width="12.109375" customWidth="1"/>
    <col min="10" max="10" width="13.88671875" customWidth="1"/>
    <col min="11" max="11" width="12.109375" customWidth="1"/>
    <col min="12" max="12" width="15.109375" customWidth="1"/>
    <col min="13" max="13" width="14.88671875" customWidth="1"/>
    <col min="14" max="14" width="15.88671875" customWidth="1"/>
    <col min="15" max="15" width="19.33203125" customWidth="1"/>
    <col min="16" max="16" width="19.77734375" customWidth="1"/>
    <col min="17" max="17" width="27.21875" customWidth="1"/>
    <col min="18" max="18" width="15.109375" customWidth="1"/>
  </cols>
  <sheetData>
    <row r="1" spans="1:18" x14ac:dyDescent="0.3">
      <c r="A1" s="97" t="s">
        <v>0</v>
      </c>
      <c r="B1" s="93" t="s">
        <v>1</v>
      </c>
      <c r="C1" s="93" t="s">
        <v>2</v>
      </c>
      <c r="D1" s="93" t="s">
        <v>3</v>
      </c>
      <c r="E1" s="93" t="s">
        <v>4</v>
      </c>
      <c r="F1" s="93" t="s">
        <v>5</v>
      </c>
      <c r="G1" s="93" t="s">
        <v>173</v>
      </c>
      <c r="H1" s="93" t="s">
        <v>538</v>
      </c>
      <c r="I1" s="95" t="s">
        <v>439</v>
      </c>
      <c r="J1" s="95" t="s">
        <v>284</v>
      </c>
      <c r="K1" s="95" t="s">
        <v>285</v>
      </c>
      <c r="L1" s="95" t="s">
        <v>286</v>
      </c>
      <c r="M1" s="95" t="s">
        <v>289</v>
      </c>
      <c r="N1" s="95" t="s">
        <v>300</v>
      </c>
      <c r="O1" s="95" t="s">
        <v>539</v>
      </c>
      <c r="P1" s="95" t="s">
        <v>174</v>
      </c>
      <c r="Q1" s="95" t="s">
        <v>253</v>
      </c>
      <c r="R1" s="98" t="s">
        <v>534</v>
      </c>
    </row>
    <row r="2" spans="1:18" x14ac:dyDescent="0.3">
      <c r="A2" s="8">
        <v>2020</v>
      </c>
      <c r="B2" s="3" t="s">
        <v>82</v>
      </c>
      <c r="C2" s="3" t="s">
        <v>83</v>
      </c>
      <c r="D2" s="3" t="s">
        <v>84</v>
      </c>
      <c r="E2" s="3" t="s">
        <v>6</v>
      </c>
      <c r="F2" s="3" t="s">
        <v>7</v>
      </c>
      <c r="G2" s="86" t="s">
        <v>177</v>
      </c>
      <c r="H2" s="4">
        <v>0</v>
      </c>
      <c r="I2" s="4"/>
      <c r="J2" s="4"/>
      <c r="K2" s="4"/>
      <c r="L2" s="4" t="s">
        <v>193</v>
      </c>
      <c r="M2" s="4"/>
      <c r="N2" s="4"/>
      <c r="O2" s="4" t="s">
        <v>540</v>
      </c>
      <c r="P2" s="7" t="s">
        <v>258</v>
      </c>
      <c r="Q2" s="7" t="s">
        <v>259</v>
      </c>
      <c r="R2" s="6">
        <v>1</v>
      </c>
    </row>
    <row r="3" spans="1:18" x14ac:dyDescent="0.3">
      <c r="A3" s="10">
        <v>2022</v>
      </c>
      <c r="B3" s="3" t="s">
        <v>167</v>
      </c>
      <c r="C3" s="3" t="s">
        <v>168</v>
      </c>
      <c r="D3" s="3" t="s">
        <v>169</v>
      </c>
      <c r="E3" s="3" t="s">
        <v>6</v>
      </c>
      <c r="F3" s="3" t="s">
        <v>163</v>
      </c>
      <c r="G3" s="86" t="s">
        <v>317</v>
      </c>
      <c r="H3" s="4">
        <v>0</v>
      </c>
      <c r="I3" s="4"/>
      <c r="J3" s="4"/>
      <c r="K3" s="4" t="s">
        <v>192</v>
      </c>
      <c r="L3" s="4" t="s">
        <v>193</v>
      </c>
      <c r="M3" s="4" t="s">
        <v>191</v>
      </c>
      <c r="N3" s="4"/>
      <c r="O3" s="4" t="s">
        <v>540</v>
      </c>
      <c r="P3" s="7" t="s">
        <v>318</v>
      </c>
      <c r="Q3" s="7" t="s">
        <v>316</v>
      </c>
      <c r="R3" s="6">
        <v>3</v>
      </c>
    </row>
    <row r="4" spans="1:18" x14ac:dyDescent="0.3">
      <c r="A4" s="11">
        <v>2023</v>
      </c>
      <c r="B4" s="3" t="s">
        <v>444</v>
      </c>
      <c r="C4" s="3" t="s">
        <v>445</v>
      </c>
      <c r="D4" s="3" t="s">
        <v>446</v>
      </c>
      <c r="E4" s="3" t="s">
        <v>6</v>
      </c>
      <c r="F4" s="3" t="s">
        <v>7</v>
      </c>
      <c r="G4" s="86" t="s">
        <v>479</v>
      </c>
      <c r="H4" s="4">
        <v>0</v>
      </c>
      <c r="I4" s="4" t="s">
        <v>190</v>
      </c>
      <c r="J4" s="4"/>
      <c r="K4" s="4" t="s">
        <v>192</v>
      </c>
      <c r="L4" s="4"/>
      <c r="M4" s="4"/>
      <c r="N4" s="4"/>
      <c r="O4" s="4" t="s">
        <v>540</v>
      </c>
      <c r="P4" s="7" t="s">
        <v>476</v>
      </c>
      <c r="Q4" s="7" t="s">
        <v>477</v>
      </c>
      <c r="R4" s="6">
        <v>2</v>
      </c>
    </row>
    <row r="5" spans="1:18" ht="15" customHeight="1" x14ac:dyDescent="0.3">
      <c r="A5" s="12">
        <v>2024</v>
      </c>
      <c r="B5" s="3" t="s">
        <v>32</v>
      </c>
      <c r="C5" s="3" t="s">
        <v>33</v>
      </c>
      <c r="D5" s="3" t="s">
        <v>34</v>
      </c>
      <c r="E5" s="3" t="s">
        <v>6</v>
      </c>
      <c r="F5" s="3" t="s">
        <v>7</v>
      </c>
      <c r="G5" s="84" t="s">
        <v>373</v>
      </c>
      <c r="H5" s="4">
        <v>0</v>
      </c>
      <c r="I5" s="4"/>
      <c r="J5" s="4"/>
      <c r="K5" s="4" t="s">
        <v>192</v>
      </c>
      <c r="L5" s="4" t="s">
        <v>193</v>
      </c>
      <c r="M5" s="4" t="s">
        <v>191</v>
      </c>
      <c r="N5" s="4"/>
      <c r="O5" s="4" t="s">
        <v>540</v>
      </c>
      <c r="P5" s="7" t="s">
        <v>372</v>
      </c>
      <c r="Q5" s="7" t="s">
        <v>374</v>
      </c>
      <c r="R5" s="6">
        <v>3</v>
      </c>
    </row>
    <row r="6" spans="1:18" x14ac:dyDescent="0.3">
      <c r="A6" s="12">
        <v>2024</v>
      </c>
      <c r="B6" s="3" t="s">
        <v>170</v>
      </c>
      <c r="C6" s="3" t="s">
        <v>171</v>
      </c>
      <c r="D6" s="3" t="s">
        <v>172</v>
      </c>
      <c r="E6" s="3" t="s">
        <v>6</v>
      </c>
      <c r="F6" s="3" t="s">
        <v>163</v>
      </c>
      <c r="G6" s="84" t="s">
        <v>351</v>
      </c>
      <c r="H6" s="4">
        <v>0</v>
      </c>
      <c r="I6" s="4"/>
      <c r="J6" s="4"/>
      <c r="K6" s="4" t="s">
        <v>192</v>
      </c>
      <c r="L6" s="4"/>
      <c r="M6" s="4" t="s">
        <v>191</v>
      </c>
      <c r="N6" s="4"/>
      <c r="O6" s="4" t="s">
        <v>540</v>
      </c>
      <c r="P6" s="7" t="s">
        <v>352</v>
      </c>
      <c r="Q6" s="7" t="s">
        <v>353</v>
      </c>
      <c r="R6" s="6">
        <v>2</v>
      </c>
    </row>
    <row r="7" spans="1:18" x14ac:dyDescent="0.3">
      <c r="A7" s="12">
        <v>2024</v>
      </c>
      <c r="B7" s="3" t="s">
        <v>246</v>
      </c>
      <c r="C7" s="3" t="s">
        <v>247</v>
      </c>
      <c r="D7" s="3" t="s">
        <v>248</v>
      </c>
      <c r="E7" s="3" t="s">
        <v>6</v>
      </c>
      <c r="F7" s="3" t="s">
        <v>7</v>
      </c>
      <c r="G7" s="86" t="s">
        <v>396</v>
      </c>
      <c r="H7" s="4">
        <v>0</v>
      </c>
      <c r="I7" s="4" t="s">
        <v>190</v>
      </c>
      <c r="J7" s="4"/>
      <c r="K7" s="4"/>
      <c r="L7" s="4"/>
      <c r="M7" s="4" t="s">
        <v>191</v>
      </c>
      <c r="N7" s="4"/>
      <c r="O7" s="4" t="s">
        <v>540</v>
      </c>
      <c r="P7" s="7" t="s">
        <v>394</v>
      </c>
      <c r="Q7" s="7" t="s">
        <v>395</v>
      </c>
      <c r="R7" s="6">
        <v>2</v>
      </c>
    </row>
    <row r="8" spans="1:18" x14ac:dyDescent="0.3">
      <c r="A8" s="13">
        <v>2025</v>
      </c>
      <c r="B8" s="3" t="s">
        <v>15</v>
      </c>
      <c r="C8" s="3" t="s">
        <v>16</v>
      </c>
      <c r="D8" s="3" t="s">
        <v>17</v>
      </c>
      <c r="E8" s="3" t="s">
        <v>6</v>
      </c>
      <c r="F8" s="3" t="s">
        <v>7</v>
      </c>
      <c r="G8" s="84" t="s">
        <v>198</v>
      </c>
      <c r="H8" s="4">
        <v>0</v>
      </c>
      <c r="I8" s="4"/>
      <c r="J8" s="4" t="s">
        <v>195</v>
      </c>
      <c r="K8" s="4" t="s">
        <v>192</v>
      </c>
      <c r="L8" s="4" t="s">
        <v>193</v>
      </c>
      <c r="M8" s="4" t="s">
        <v>191</v>
      </c>
      <c r="N8" s="4"/>
      <c r="O8" s="4" t="s">
        <v>540</v>
      </c>
      <c r="P8" s="7" t="s">
        <v>410</v>
      </c>
      <c r="Q8" s="7" t="s">
        <v>409</v>
      </c>
      <c r="R8" s="6">
        <v>4</v>
      </c>
    </row>
    <row r="9" spans="1:18" x14ac:dyDescent="0.3">
      <c r="A9" s="13">
        <v>2025</v>
      </c>
      <c r="B9" s="3" t="s">
        <v>159</v>
      </c>
      <c r="C9" s="3" t="s">
        <v>160</v>
      </c>
      <c r="D9" s="3" t="s">
        <v>162</v>
      </c>
      <c r="E9" s="3" t="s">
        <v>161</v>
      </c>
      <c r="F9" s="3" t="s">
        <v>154</v>
      </c>
      <c r="G9" s="84" t="s">
        <v>198</v>
      </c>
      <c r="H9" s="4">
        <v>0</v>
      </c>
      <c r="I9" s="4"/>
      <c r="J9" s="4"/>
      <c r="K9" s="4" t="s">
        <v>192</v>
      </c>
      <c r="L9" s="4"/>
      <c r="M9" s="4" t="s">
        <v>191</v>
      </c>
      <c r="N9" s="4"/>
      <c r="O9" s="4" t="s">
        <v>540</v>
      </c>
      <c r="P9" s="7" t="s">
        <v>415</v>
      </c>
      <c r="Q9" s="7" t="s">
        <v>414</v>
      </c>
      <c r="R9" s="6">
        <v>2</v>
      </c>
    </row>
    <row r="10" spans="1:18" x14ac:dyDescent="0.3">
      <c r="A10" s="13">
        <v>2025</v>
      </c>
      <c r="B10" s="3" t="s">
        <v>149</v>
      </c>
      <c r="C10" s="3" t="s">
        <v>148</v>
      </c>
      <c r="D10" s="3" t="s">
        <v>150</v>
      </c>
      <c r="E10" s="3" t="s">
        <v>6</v>
      </c>
      <c r="F10" s="3" t="s">
        <v>127</v>
      </c>
      <c r="G10" s="86" t="s">
        <v>311</v>
      </c>
      <c r="H10" s="4">
        <v>0</v>
      </c>
      <c r="I10" s="4" t="s">
        <v>190</v>
      </c>
      <c r="J10" s="4" t="s">
        <v>195</v>
      </c>
      <c r="K10" s="4"/>
      <c r="L10" s="4" t="s">
        <v>193</v>
      </c>
      <c r="M10" s="4"/>
      <c r="N10" s="4"/>
      <c r="O10" s="4" t="s">
        <v>540</v>
      </c>
      <c r="P10" s="7" t="s">
        <v>407</v>
      </c>
      <c r="Q10" s="7" t="s">
        <v>408</v>
      </c>
      <c r="R10" s="6">
        <v>3</v>
      </c>
    </row>
    <row r="11" spans="1:18" x14ac:dyDescent="0.3">
      <c r="A11" s="42">
        <v>2025</v>
      </c>
      <c r="B11" s="43" t="s">
        <v>225</v>
      </c>
      <c r="C11" s="43" t="s">
        <v>226</v>
      </c>
      <c r="D11" s="43" t="s">
        <v>227</v>
      </c>
      <c r="E11" s="43" t="s">
        <v>6</v>
      </c>
      <c r="F11" s="43" t="s">
        <v>7</v>
      </c>
      <c r="G11" s="99" t="s">
        <v>425</v>
      </c>
      <c r="H11" s="20">
        <v>0</v>
      </c>
      <c r="I11" s="20"/>
      <c r="J11" s="20" t="s">
        <v>195</v>
      </c>
      <c r="K11" s="20" t="s">
        <v>192</v>
      </c>
      <c r="L11" s="20"/>
      <c r="M11" s="20"/>
      <c r="N11" s="20"/>
      <c r="O11" s="20" t="s">
        <v>540</v>
      </c>
      <c r="P11" s="18" t="s">
        <v>424</v>
      </c>
      <c r="Q11" s="18" t="s">
        <v>426</v>
      </c>
      <c r="R11" s="100">
        <v>2</v>
      </c>
    </row>
    <row r="14" spans="1:18" x14ac:dyDescent="0.3">
      <c r="B14" s="29" t="s">
        <v>497</v>
      </c>
      <c r="C14" s="3" t="s">
        <v>541</v>
      </c>
      <c r="D14" s="3" t="s">
        <v>500</v>
      </c>
      <c r="E14" s="3" t="s">
        <v>502</v>
      </c>
      <c r="F14" s="3" t="s">
        <v>501</v>
      </c>
      <c r="G14" s="3" t="s">
        <v>498</v>
      </c>
      <c r="H14" s="3" t="s">
        <v>499</v>
      </c>
    </row>
    <row r="15" spans="1:18" x14ac:dyDescent="0.3">
      <c r="B15" s="7">
        <v>2020</v>
      </c>
      <c r="C15" s="3">
        <v>1</v>
      </c>
      <c r="D15" s="3"/>
      <c r="E15" s="3"/>
      <c r="F15" s="3">
        <v>1</v>
      </c>
      <c r="G15" s="3"/>
      <c r="H15" s="3"/>
    </row>
    <row r="16" spans="1:18" x14ac:dyDescent="0.3">
      <c r="B16" s="7">
        <v>2022</v>
      </c>
      <c r="C16" s="3">
        <v>1</v>
      </c>
      <c r="D16" s="3">
        <v>1</v>
      </c>
      <c r="E16" s="3">
        <v>1</v>
      </c>
      <c r="F16" s="3">
        <v>1</v>
      </c>
      <c r="G16" s="3"/>
      <c r="H16" s="3"/>
    </row>
    <row r="17" spans="2:8" x14ac:dyDescent="0.3">
      <c r="B17" s="7">
        <v>2023</v>
      </c>
      <c r="C17" s="3">
        <v>1</v>
      </c>
      <c r="D17" s="3">
        <v>1</v>
      </c>
      <c r="E17" s="3"/>
      <c r="F17" s="3"/>
      <c r="G17" s="3">
        <v>1</v>
      </c>
      <c r="H17" s="3"/>
    </row>
    <row r="18" spans="2:8" x14ac:dyDescent="0.3">
      <c r="B18" s="7">
        <v>2024</v>
      </c>
      <c r="C18" s="3">
        <v>3</v>
      </c>
      <c r="D18" s="3">
        <v>2</v>
      </c>
      <c r="E18" s="3">
        <v>3</v>
      </c>
      <c r="F18" s="3">
        <v>1</v>
      </c>
      <c r="G18" s="3">
        <v>1</v>
      </c>
      <c r="H18" s="3"/>
    </row>
    <row r="19" spans="2:8" x14ac:dyDescent="0.3">
      <c r="B19" s="7">
        <v>2025</v>
      </c>
      <c r="C19" s="3">
        <v>4</v>
      </c>
      <c r="D19" s="3">
        <v>3</v>
      </c>
      <c r="E19" s="3">
        <v>2</v>
      </c>
      <c r="F19" s="3">
        <v>2</v>
      </c>
      <c r="G19" s="3">
        <v>1</v>
      </c>
      <c r="H19" s="3">
        <v>3</v>
      </c>
    </row>
    <row r="20" spans="2:8" x14ac:dyDescent="0.3">
      <c r="B20" s="7" t="s">
        <v>496</v>
      </c>
      <c r="C20" s="3">
        <v>10</v>
      </c>
      <c r="D20" s="3">
        <v>7</v>
      </c>
      <c r="E20" s="3">
        <v>6</v>
      </c>
      <c r="F20" s="3">
        <v>5</v>
      </c>
      <c r="G20" s="3">
        <v>3</v>
      </c>
      <c r="H20" s="3">
        <v>3</v>
      </c>
    </row>
  </sheetData>
  <conditionalFormatting sqref="R2:R11">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13"/>
  <sheetViews>
    <sheetView zoomScale="110" zoomScaleNormal="110" workbookViewId="0">
      <selection activeCell="E7" sqref="E7"/>
    </sheetView>
  </sheetViews>
  <sheetFormatPr defaultRowHeight="14.4" x14ac:dyDescent="0.3"/>
  <cols>
    <col min="2" max="2" width="9.77734375" customWidth="1"/>
    <col min="4" max="4" width="12.5546875" bestFit="1" customWidth="1"/>
    <col min="5" max="5" width="22.44140625" bestFit="1" customWidth="1"/>
    <col min="6" max="6" width="18.44140625" bestFit="1" customWidth="1"/>
    <col min="7" max="7" width="21.109375" bestFit="1" customWidth="1"/>
    <col min="8" max="8" width="21.5546875" bestFit="1" customWidth="1"/>
    <col min="9" max="9" width="20.21875" bestFit="1" customWidth="1"/>
    <col min="10" max="10" width="25.109375" bestFit="1" customWidth="1"/>
    <col min="11" max="11" width="12.109375" customWidth="1"/>
    <col min="12" max="12" width="15.109375" customWidth="1"/>
    <col min="13" max="13" width="14.88671875" customWidth="1"/>
    <col min="14" max="14" width="15.88671875" customWidth="1"/>
    <col min="15" max="15" width="19.77734375" customWidth="1"/>
    <col min="16" max="16" width="27.21875" customWidth="1"/>
    <col min="17" max="17" width="10.5546875" customWidth="1"/>
  </cols>
  <sheetData>
    <row r="1" spans="1:17" x14ac:dyDescent="0.3">
      <c r="A1" s="37" t="s">
        <v>0</v>
      </c>
      <c r="B1" s="38" t="s">
        <v>1</v>
      </c>
      <c r="C1" s="38" t="s">
        <v>2</v>
      </c>
      <c r="D1" s="38" t="s">
        <v>3</v>
      </c>
      <c r="E1" s="38" t="s">
        <v>4</v>
      </c>
      <c r="F1" s="38" t="s">
        <v>5</v>
      </c>
      <c r="G1" s="38" t="s">
        <v>173</v>
      </c>
      <c r="H1" s="38" t="s">
        <v>504</v>
      </c>
      <c r="I1" s="39" t="s">
        <v>439</v>
      </c>
      <c r="J1" s="39" t="s">
        <v>284</v>
      </c>
      <c r="K1" s="39" t="s">
        <v>285</v>
      </c>
      <c r="L1" s="38" t="s">
        <v>286</v>
      </c>
      <c r="M1" s="38" t="s">
        <v>289</v>
      </c>
      <c r="N1" s="38" t="s">
        <v>300</v>
      </c>
      <c r="O1" s="40" t="s">
        <v>174</v>
      </c>
      <c r="P1" s="40" t="s">
        <v>253</v>
      </c>
      <c r="Q1" s="41" t="s">
        <v>252</v>
      </c>
    </row>
    <row r="2" spans="1:17" x14ac:dyDescent="0.3">
      <c r="A2" s="10">
        <v>2022</v>
      </c>
      <c r="B2" s="24" t="s">
        <v>65</v>
      </c>
      <c r="C2" s="24" t="s">
        <v>66</v>
      </c>
      <c r="D2" s="24" t="s">
        <v>67</v>
      </c>
      <c r="E2" s="24" t="s">
        <v>6</v>
      </c>
      <c r="F2" s="24" t="s">
        <v>7</v>
      </c>
      <c r="G2" s="24" t="s">
        <v>302</v>
      </c>
      <c r="H2" s="23">
        <v>0</v>
      </c>
      <c r="I2" s="25" t="s">
        <v>190</v>
      </c>
      <c r="J2" s="25"/>
      <c r="K2" s="25" t="s">
        <v>192</v>
      </c>
      <c r="L2" s="31"/>
      <c r="M2" s="31"/>
      <c r="N2" s="31" t="s">
        <v>301</v>
      </c>
      <c r="O2" s="23" t="s">
        <v>298</v>
      </c>
      <c r="P2" s="32" t="s">
        <v>299</v>
      </c>
      <c r="Q2" s="35">
        <v>1</v>
      </c>
    </row>
    <row r="3" spans="1:17" x14ac:dyDescent="0.3">
      <c r="A3" s="10">
        <v>2022</v>
      </c>
      <c r="B3" s="3" t="s">
        <v>234</v>
      </c>
      <c r="C3" s="3" t="s">
        <v>235</v>
      </c>
      <c r="D3" s="3" t="s">
        <v>236</v>
      </c>
      <c r="E3" s="3" t="s">
        <v>87</v>
      </c>
      <c r="F3" s="3" t="s">
        <v>86</v>
      </c>
      <c r="G3" s="3" t="s">
        <v>294</v>
      </c>
      <c r="H3" s="7">
        <v>0</v>
      </c>
      <c r="I3" s="4"/>
      <c r="J3" s="4"/>
      <c r="K3" s="4" t="s">
        <v>192</v>
      </c>
      <c r="L3" s="4"/>
      <c r="M3" s="4"/>
      <c r="N3" s="4" t="s">
        <v>301</v>
      </c>
      <c r="O3" s="7" t="s">
        <v>292</v>
      </c>
      <c r="P3" s="7" t="s">
        <v>293</v>
      </c>
      <c r="Q3" s="36">
        <v>1</v>
      </c>
    </row>
    <row r="4" spans="1:17" x14ac:dyDescent="0.3">
      <c r="A4" s="11">
        <v>2023</v>
      </c>
      <c r="B4" s="24" t="s">
        <v>138</v>
      </c>
      <c r="C4" s="24" t="s">
        <v>137</v>
      </c>
      <c r="D4" s="24" t="s">
        <v>139</v>
      </c>
      <c r="E4" s="24" t="s">
        <v>6</v>
      </c>
      <c r="F4" s="24" t="s">
        <v>127</v>
      </c>
      <c r="G4" s="34" t="s">
        <v>200</v>
      </c>
      <c r="H4" s="23">
        <v>0</v>
      </c>
      <c r="I4" s="25"/>
      <c r="J4" s="25" t="s">
        <v>195</v>
      </c>
      <c r="K4" s="25" t="s">
        <v>192</v>
      </c>
      <c r="L4" s="25"/>
      <c r="M4" s="25"/>
      <c r="N4" s="25" t="s">
        <v>301</v>
      </c>
      <c r="O4" s="23" t="s">
        <v>331</v>
      </c>
      <c r="P4" s="23" t="s">
        <v>332</v>
      </c>
      <c r="Q4" s="35">
        <v>1</v>
      </c>
    </row>
    <row r="5" spans="1:17" x14ac:dyDescent="0.3">
      <c r="A5" s="11">
        <v>2023</v>
      </c>
      <c r="B5" s="3" t="s">
        <v>95</v>
      </c>
      <c r="C5" s="3" t="s">
        <v>96</v>
      </c>
      <c r="D5" s="3" t="s">
        <v>97</v>
      </c>
      <c r="E5" s="3" t="s">
        <v>87</v>
      </c>
      <c r="F5" s="3" t="s">
        <v>86</v>
      </c>
      <c r="G5" s="3" t="s">
        <v>339</v>
      </c>
      <c r="H5" s="7">
        <v>0</v>
      </c>
      <c r="I5" s="4"/>
      <c r="J5" s="4"/>
      <c r="K5" s="4" t="s">
        <v>192</v>
      </c>
      <c r="L5" s="4"/>
      <c r="M5" s="4"/>
      <c r="N5" s="4" t="s">
        <v>301</v>
      </c>
      <c r="O5" s="7" t="s">
        <v>337</v>
      </c>
      <c r="P5" s="7" t="s">
        <v>338</v>
      </c>
      <c r="Q5" s="36">
        <v>1</v>
      </c>
    </row>
    <row r="6" spans="1:17" x14ac:dyDescent="0.3">
      <c r="A6" s="45">
        <v>2024</v>
      </c>
      <c r="B6" s="46" t="s">
        <v>202</v>
      </c>
      <c r="C6" s="46" t="s">
        <v>203</v>
      </c>
      <c r="D6" s="46" t="s">
        <v>204</v>
      </c>
      <c r="E6" s="46" t="s">
        <v>6</v>
      </c>
      <c r="F6" s="46" t="s">
        <v>7</v>
      </c>
      <c r="G6" s="46" t="s">
        <v>322</v>
      </c>
      <c r="H6" s="47">
        <v>0</v>
      </c>
      <c r="I6" s="48"/>
      <c r="J6" s="48"/>
      <c r="K6" s="48" t="s">
        <v>192</v>
      </c>
      <c r="L6" s="48" t="s">
        <v>193</v>
      </c>
      <c r="M6" s="48" t="s">
        <v>191</v>
      </c>
      <c r="N6" s="48" t="s">
        <v>301</v>
      </c>
      <c r="O6" s="47" t="s">
        <v>377</v>
      </c>
      <c r="P6" s="47" t="s">
        <v>379</v>
      </c>
      <c r="Q6" s="49">
        <v>1</v>
      </c>
    </row>
    <row r="9" spans="1:17" x14ac:dyDescent="0.3">
      <c r="D9" s="29" t="s">
        <v>497</v>
      </c>
      <c r="E9" s="3" t="s">
        <v>503</v>
      </c>
      <c r="F9" s="3" t="s">
        <v>500</v>
      </c>
      <c r="G9" s="3" t="s">
        <v>502</v>
      </c>
      <c r="H9" s="3" t="s">
        <v>501</v>
      </c>
      <c r="I9" s="3" t="s">
        <v>499</v>
      </c>
      <c r="J9" s="3" t="s">
        <v>498</v>
      </c>
    </row>
    <row r="10" spans="1:17" x14ac:dyDescent="0.3">
      <c r="D10" s="7">
        <v>2022</v>
      </c>
      <c r="E10" s="3">
        <v>2</v>
      </c>
      <c r="F10" s="3">
        <v>2</v>
      </c>
      <c r="G10" s="3"/>
      <c r="H10" s="3"/>
      <c r="I10" s="3"/>
      <c r="J10" s="3">
        <v>1</v>
      </c>
    </row>
    <row r="11" spans="1:17" x14ac:dyDescent="0.3">
      <c r="D11" s="7">
        <v>2023</v>
      </c>
      <c r="E11" s="3">
        <v>2</v>
      </c>
      <c r="F11" s="3">
        <v>2</v>
      </c>
      <c r="G11" s="3"/>
      <c r="H11" s="3"/>
      <c r="I11" s="3">
        <v>1</v>
      </c>
      <c r="J11" s="3"/>
    </row>
    <row r="12" spans="1:17" x14ac:dyDescent="0.3">
      <c r="D12" s="7">
        <v>2024</v>
      </c>
      <c r="E12" s="3">
        <v>1</v>
      </c>
      <c r="F12" s="3">
        <v>1</v>
      </c>
      <c r="G12" s="3">
        <v>1</v>
      </c>
      <c r="H12" s="3">
        <v>1</v>
      </c>
      <c r="I12" s="3"/>
      <c r="J12" s="3"/>
    </row>
    <row r="13" spans="1:17" x14ac:dyDescent="0.3">
      <c r="D13" s="7" t="s">
        <v>496</v>
      </c>
      <c r="E13" s="3">
        <v>5</v>
      </c>
      <c r="F13" s="3">
        <v>5</v>
      </c>
      <c r="G13" s="3">
        <v>1</v>
      </c>
      <c r="H13" s="3">
        <v>1</v>
      </c>
      <c r="I13" s="3">
        <v>1</v>
      </c>
      <c r="J13" s="3">
        <v>1</v>
      </c>
    </row>
  </sheetData>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I58"/>
  <sheetViews>
    <sheetView zoomScale="70" zoomScaleNormal="70" workbookViewId="0">
      <selection activeCell="C1" sqref="C1"/>
    </sheetView>
  </sheetViews>
  <sheetFormatPr defaultRowHeight="14.4" x14ac:dyDescent="0.3"/>
  <cols>
    <col min="2" max="2" width="14.77734375" customWidth="1"/>
    <col min="3" max="3" width="27" customWidth="1"/>
    <col min="4" max="4" width="17.77734375" customWidth="1"/>
    <col min="5" max="5" width="18.44140625" customWidth="1"/>
    <col min="6" max="6" width="16.77734375" customWidth="1"/>
    <col min="7" max="7" width="16.21875" customWidth="1"/>
    <col min="8" max="8" width="22.109375" customWidth="1"/>
    <col min="9" max="9" width="19.5546875" customWidth="1"/>
  </cols>
  <sheetData>
    <row r="1" spans="2:8" ht="15" thickBot="1" x14ac:dyDescent="0.35"/>
    <row r="2" spans="2:8" s="19" customFormat="1" x14ac:dyDescent="0.3">
      <c r="B2" s="67" t="s">
        <v>0</v>
      </c>
      <c r="C2" s="73" t="s">
        <v>500</v>
      </c>
      <c r="D2" s="68" t="s">
        <v>517</v>
      </c>
      <c r="E2" s="68" t="s">
        <v>499</v>
      </c>
      <c r="F2" s="68" t="s">
        <v>498</v>
      </c>
      <c r="G2" s="68" t="s">
        <v>501</v>
      </c>
      <c r="H2" s="69" t="s">
        <v>503</v>
      </c>
    </row>
    <row r="3" spans="2:8" x14ac:dyDescent="0.3">
      <c r="B3" s="63">
        <v>2020</v>
      </c>
      <c r="C3" s="4">
        <v>3</v>
      </c>
      <c r="D3" s="4"/>
      <c r="E3" s="4"/>
      <c r="F3" s="4"/>
      <c r="G3" s="4"/>
      <c r="H3" s="64"/>
    </row>
    <row r="4" spans="2:8" x14ac:dyDescent="0.3">
      <c r="B4" s="63">
        <v>2021</v>
      </c>
      <c r="C4" s="4">
        <v>3</v>
      </c>
      <c r="D4" s="4"/>
      <c r="E4" s="4">
        <v>1</v>
      </c>
      <c r="F4" s="4"/>
      <c r="G4" s="4">
        <v>1</v>
      </c>
      <c r="H4" s="64"/>
    </row>
    <row r="5" spans="2:8" x14ac:dyDescent="0.3">
      <c r="B5" s="63">
        <v>2022</v>
      </c>
      <c r="C5" s="4">
        <v>6</v>
      </c>
      <c r="D5" s="4">
        <v>2</v>
      </c>
      <c r="E5" s="4"/>
      <c r="F5" s="4">
        <v>1</v>
      </c>
      <c r="G5" s="4">
        <v>1</v>
      </c>
      <c r="H5" s="64">
        <v>2</v>
      </c>
    </row>
    <row r="6" spans="2:8" x14ac:dyDescent="0.3">
      <c r="B6" s="63">
        <v>2023</v>
      </c>
      <c r="C6" s="4">
        <v>8</v>
      </c>
      <c r="D6" s="4"/>
      <c r="E6" s="4">
        <v>2</v>
      </c>
      <c r="F6" s="4">
        <v>2</v>
      </c>
      <c r="G6" s="4"/>
      <c r="H6" s="64">
        <v>2</v>
      </c>
    </row>
    <row r="7" spans="2:8" x14ac:dyDescent="0.3">
      <c r="B7" s="63">
        <v>2024</v>
      </c>
      <c r="C7" s="4">
        <v>17</v>
      </c>
      <c r="D7" s="4">
        <v>10</v>
      </c>
      <c r="E7" s="4">
        <v>4</v>
      </c>
      <c r="F7" s="4">
        <v>7</v>
      </c>
      <c r="G7" s="4">
        <v>7</v>
      </c>
      <c r="H7" s="64">
        <v>1</v>
      </c>
    </row>
    <row r="8" spans="2:8" x14ac:dyDescent="0.3">
      <c r="B8" s="63">
        <v>2025</v>
      </c>
      <c r="C8" s="4">
        <v>9</v>
      </c>
      <c r="D8" s="4">
        <v>6</v>
      </c>
      <c r="E8" s="4">
        <v>5</v>
      </c>
      <c r="F8" s="4">
        <v>1</v>
      </c>
      <c r="G8" s="4">
        <v>2</v>
      </c>
      <c r="H8" s="64"/>
    </row>
    <row r="9" spans="2:8" ht="15" thickBot="1" x14ac:dyDescent="0.35">
      <c r="B9" s="60" t="s">
        <v>496</v>
      </c>
      <c r="C9" s="65">
        <v>46</v>
      </c>
      <c r="D9" s="65">
        <v>18</v>
      </c>
      <c r="E9" s="65">
        <v>12</v>
      </c>
      <c r="F9" s="65">
        <v>11</v>
      </c>
      <c r="G9" s="65">
        <v>11</v>
      </c>
      <c r="H9" s="66">
        <v>5</v>
      </c>
    </row>
    <row r="10" spans="2:8" ht="15" thickBot="1" x14ac:dyDescent="0.35">
      <c r="B10" s="5"/>
      <c r="C10" s="5"/>
      <c r="D10" s="5"/>
      <c r="E10" s="5"/>
      <c r="F10" s="5"/>
      <c r="G10" s="5"/>
      <c r="H10" s="5"/>
    </row>
    <row r="11" spans="2:8" s="19" customFormat="1" x14ac:dyDescent="0.3">
      <c r="B11" s="67" t="s">
        <v>0</v>
      </c>
      <c r="C11" s="73" t="s">
        <v>502</v>
      </c>
      <c r="D11" s="68" t="s">
        <v>500</v>
      </c>
      <c r="E11" s="68" t="s">
        <v>501</v>
      </c>
      <c r="F11" s="68" t="s">
        <v>498</v>
      </c>
      <c r="G11" s="68" t="s">
        <v>499</v>
      </c>
      <c r="H11" s="69" t="s">
        <v>503</v>
      </c>
    </row>
    <row r="12" spans="2:8" x14ac:dyDescent="0.3">
      <c r="B12" s="63">
        <v>2020</v>
      </c>
      <c r="C12" s="4">
        <v>1</v>
      </c>
      <c r="D12" s="4"/>
      <c r="E12" s="4"/>
      <c r="F12" s="4"/>
      <c r="G12" s="4"/>
      <c r="H12" s="64"/>
    </row>
    <row r="13" spans="2:8" x14ac:dyDescent="0.3">
      <c r="B13" s="63">
        <v>2021</v>
      </c>
      <c r="C13" s="4">
        <v>3</v>
      </c>
      <c r="D13" s="4"/>
      <c r="E13" s="4"/>
      <c r="F13" s="4"/>
      <c r="G13" s="4"/>
      <c r="H13" s="64"/>
    </row>
    <row r="14" spans="2:8" x14ac:dyDescent="0.3">
      <c r="B14" s="63">
        <v>2022</v>
      </c>
      <c r="C14" s="4">
        <v>7</v>
      </c>
      <c r="D14" s="4">
        <v>2</v>
      </c>
      <c r="E14" s="4">
        <v>1</v>
      </c>
      <c r="F14" s="4"/>
      <c r="G14" s="4"/>
      <c r="H14" s="64"/>
    </row>
    <row r="15" spans="2:8" x14ac:dyDescent="0.3">
      <c r="B15" s="63">
        <v>2023</v>
      </c>
      <c r="C15" s="4">
        <v>4</v>
      </c>
      <c r="D15" s="4"/>
      <c r="E15" s="4">
        <v>1</v>
      </c>
      <c r="F15" s="4">
        <v>1</v>
      </c>
      <c r="G15" s="4"/>
      <c r="H15" s="64"/>
    </row>
    <row r="16" spans="2:8" x14ac:dyDescent="0.3">
      <c r="B16" s="63">
        <v>2024</v>
      </c>
      <c r="C16" s="4">
        <v>14</v>
      </c>
      <c r="D16" s="4">
        <v>10</v>
      </c>
      <c r="E16" s="4">
        <v>6</v>
      </c>
      <c r="F16" s="4">
        <v>4</v>
      </c>
      <c r="G16" s="4">
        <v>1</v>
      </c>
      <c r="H16" s="64">
        <v>1</v>
      </c>
    </row>
    <row r="17" spans="2:8" x14ac:dyDescent="0.3">
      <c r="B17" s="63">
        <v>2025</v>
      </c>
      <c r="C17" s="4">
        <v>7</v>
      </c>
      <c r="D17" s="4">
        <v>6</v>
      </c>
      <c r="E17" s="4">
        <v>2</v>
      </c>
      <c r="F17" s="4">
        <v>1</v>
      </c>
      <c r="G17" s="4">
        <v>3</v>
      </c>
      <c r="H17" s="64"/>
    </row>
    <row r="18" spans="2:8" ht="15" thickBot="1" x14ac:dyDescent="0.35">
      <c r="B18" s="60" t="s">
        <v>496</v>
      </c>
      <c r="C18" s="65">
        <v>36</v>
      </c>
      <c r="D18" s="65">
        <v>18</v>
      </c>
      <c r="E18" s="65">
        <v>10</v>
      </c>
      <c r="F18" s="65">
        <v>6</v>
      </c>
      <c r="G18" s="65">
        <v>4</v>
      </c>
      <c r="H18" s="66">
        <v>1</v>
      </c>
    </row>
    <row r="19" spans="2:8" x14ac:dyDescent="0.3">
      <c r="B19" s="5"/>
      <c r="C19" s="5"/>
      <c r="D19" s="5"/>
      <c r="E19" s="5"/>
      <c r="F19" s="5"/>
      <c r="G19" s="5"/>
      <c r="H19" s="5"/>
    </row>
    <row r="20" spans="2:8" s="19" customFormat="1" x14ac:dyDescent="0.3">
      <c r="B20" s="7" t="s">
        <v>0</v>
      </c>
      <c r="C20" s="26" t="s">
        <v>498</v>
      </c>
      <c r="D20" s="7" t="s">
        <v>500</v>
      </c>
      <c r="E20" s="7" t="s">
        <v>501</v>
      </c>
      <c r="F20" s="7" t="s">
        <v>502</v>
      </c>
      <c r="G20" s="7" t="s">
        <v>499</v>
      </c>
      <c r="H20" s="7" t="s">
        <v>503</v>
      </c>
    </row>
    <row r="21" spans="2:8" x14ac:dyDescent="0.3">
      <c r="B21" s="63">
        <v>2020</v>
      </c>
      <c r="C21" s="4">
        <v>1</v>
      </c>
      <c r="D21" s="4"/>
      <c r="E21" s="4"/>
      <c r="F21" s="4"/>
      <c r="G21" s="4"/>
      <c r="H21" s="64"/>
    </row>
    <row r="22" spans="2:8" x14ac:dyDescent="0.3">
      <c r="B22" s="63">
        <v>2021</v>
      </c>
      <c r="C22" s="4">
        <v>2</v>
      </c>
      <c r="D22" s="4"/>
      <c r="E22" s="4">
        <v>1</v>
      </c>
      <c r="F22" s="4"/>
      <c r="G22" s="4"/>
      <c r="H22" s="64"/>
    </row>
    <row r="23" spans="2:8" x14ac:dyDescent="0.3">
      <c r="B23" s="63">
        <v>2022</v>
      </c>
      <c r="C23" s="4">
        <v>1</v>
      </c>
      <c r="D23" s="4">
        <v>1</v>
      </c>
      <c r="E23" s="4"/>
      <c r="F23" s="4"/>
      <c r="G23" s="4"/>
      <c r="H23" s="64">
        <v>1</v>
      </c>
    </row>
    <row r="24" spans="2:8" x14ac:dyDescent="0.3">
      <c r="B24" s="63">
        <v>2023</v>
      </c>
      <c r="C24" s="4">
        <v>5</v>
      </c>
      <c r="D24" s="4">
        <v>2</v>
      </c>
      <c r="E24" s="4">
        <v>1</v>
      </c>
      <c r="F24" s="4">
        <v>1</v>
      </c>
      <c r="G24" s="4"/>
      <c r="H24" s="64"/>
    </row>
    <row r="25" spans="2:8" x14ac:dyDescent="0.3">
      <c r="B25" s="63">
        <v>2024</v>
      </c>
      <c r="C25" s="4">
        <v>9</v>
      </c>
      <c r="D25" s="4">
        <v>7</v>
      </c>
      <c r="E25" s="4">
        <v>3</v>
      </c>
      <c r="F25" s="4">
        <v>4</v>
      </c>
      <c r="G25" s="4">
        <v>2</v>
      </c>
      <c r="H25" s="64"/>
    </row>
    <row r="26" spans="2:8" x14ac:dyDescent="0.3">
      <c r="B26" s="63">
        <v>2025</v>
      </c>
      <c r="C26" s="4">
        <v>5</v>
      </c>
      <c r="D26" s="4">
        <v>1</v>
      </c>
      <c r="E26" s="4">
        <v>3</v>
      </c>
      <c r="F26" s="4">
        <v>1</v>
      </c>
      <c r="G26" s="4">
        <v>1</v>
      </c>
      <c r="H26" s="64"/>
    </row>
    <row r="27" spans="2:8" ht="15" thickBot="1" x14ac:dyDescent="0.35">
      <c r="B27" s="60" t="s">
        <v>496</v>
      </c>
      <c r="C27" s="65">
        <v>23</v>
      </c>
      <c r="D27" s="65">
        <v>11</v>
      </c>
      <c r="E27" s="65">
        <v>8</v>
      </c>
      <c r="F27" s="65">
        <v>6</v>
      </c>
      <c r="G27" s="65">
        <v>3</v>
      </c>
      <c r="H27" s="66">
        <v>1</v>
      </c>
    </row>
    <row r="28" spans="2:8" ht="15" thickBot="1" x14ac:dyDescent="0.35">
      <c r="B28" s="5"/>
      <c r="C28" s="5"/>
      <c r="D28" s="5"/>
      <c r="E28" s="5"/>
      <c r="F28" s="5"/>
      <c r="G28" s="5"/>
      <c r="H28" s="5"/>
    </row>
    <row r="29" spans="2:8" s="19" customFormat="1" x14ac:dyDescent="0.3">
      <c r="B29" s="72" t="s">
        <v>0</v>
      </c>
      <c r="C29" s="73" t="s">
        <v>501</v>
      </c>
      <c r="D29" s="68" t="s">
        <v>500</v>
      </c>
      <c r="E29" s="68" t="s">
        <v>502</v>
      </c>
      <c r="F29" s="68" t="s">
        <v>498</v>
      </c>
      <c r="G29" s="68" t="s">
        <v>499</v>
      </c>
      <c r="H29" s="69" t="s">
        <v>503</v>
      </c>
    </row>
    <row r="30" spans="2:8" x14ac:dyDescent="0.3">
      <c r="B30" s="63">
        <v>2020</v>
      </c>
      <c r="C30" s="4">
        <v>1</v>
      </c>
      <c r="D30" s="4"/>
      <c r="E30" s="4"/>
      <c r="F30" s="4"/>
      <c r="G30" s="4"/>
      <c r="H30" s="64"/>
    </row>
    <row r="31" spans="2:8" x14ac:dyDescent="0.3">
      <c r="B31" s="63">
        <v>2021</v>
      </c>
      <c r="C31" s="4">
        <v>2</v>
      </c>
      <c r="D31" s="4">
        <v>1</v>
      </c>
      <c r="E31" s="4"/>
      <c r="F31" s="4">
        <v>1</v>
      </c>
      <c r="G31" s="4"/>
      <c r="H31" s="64"/>
    </row>
    <row r="32" spans="2:8" x14ac:dyDescent="0.3">
      <c r="B32" s="63">
        <v>2022</v>
      </c>
      <c r="C32" s="4">
        <v>2</v>
      </c>
      <c r="D32" s="4">
        <v>1</v>
      </c>
      <c r="E32" s="4">
        <v>1</v>
      </c>
      <c r="F32" s="4"/>
      <c r="G32" s="4"/>
      <c r="H32" s="64"/>
    </row>
    <row r="33" spans="2:8" x14ac:dyDescent="0.3">
      <c r="B33" s="63">
        <v>2023</v>
      </c>
      <c r="C33" s="4">
        <v>2</v>
      </c>
      <c r="D33" s="4"/>
      <c r="E33" s="4">
        <v>1</v>
      </c>
      <c r="F33" s="4">
        <v>1</v>
      </c>
      <c r="G33" s="4"/>
      <c r="H33" s="64"/>
    </row>
    <row r="34" spans="2:8" x14ac:dyDescent="0.3">
      <c r="B34" s="63">
        <v>2024</v>
      </c>
      <c r="C34" s="4">
        <v>8</v>
      </c>
      <c r="D34" s="4">
        <v>7</v>
      </c>
      <c r="E34" s="4">
        <v>6</v>
      </c>
      <c r="F34" s="4">
        <v>3</v>
      </c>
      <c r="G34" s="4"/>
      <c r="H34" s="64">
        <v>1</v>
      </c>
    </row>
    <row r="35" spans="2:8" x14ac:dyDescent="0.3">
      <c r="B35" s="63">
        <v>2025</v>
      </c>
      <c r="C35" s="4">
        <v>5</v>
      </c>
      <c r="D35" s="4">
        <v>2</v>
      </c>
      <c r="E35" s="4">
        <v>2</v>
      </c>
      <c r="F35" s="4">
        <v>3</v>
      </c>
      <c r="G35" s="4">
        <v>3</v>
      </c>
      <c r="H35" s="64"/>
    </row>
    <row r="36" spans="2:8" ht="15" thickBot="1" x14ac:dyDescent="0.35">
      <c r="B36" s="60" t="s">
        <v>496</v>
      </c>
      <c r="C36" s="65">
        <v>20</v>
      </c>
      <c r="D36" s="65">
        <v>11</v>
      </c>
      <c r="E36" s="65">
        <v>10</v>
      </c>
      <c r="F36" s="65">
        <v>8</v>
      </c>
      <c r="G36" s="65">
        <v>3</v>
      </c>
      <c r="H36" s="66">
        <v>1</v>
      </c>
    </row>
    <row r="37" spans="2:8" ht="15" thickBot="1" x14ac:dyDescent="0.35">
      <c r="B37" s="5"/>
      <c r="C37" s="5"/>
      <c r="D37" s="5"/>
      <c r="E37" s="5"/>
      <c r="F37" s="5"/>
      <c r="G37" s="5"/>
      <c r="H37" s="5"/>
    </row>
    <row r="38" spans="2:8" s="19" customFormat="1" x14ac:dyDescent="0.3">
      <c r="B38" s="72" t="s">
        <v>0</v>
      </c>
      <c r="C38" s="73" t="s">
        <v>499</v>
      </c>
      <c r="D38" s="68" t="s">
        <v>500</v>
      </c>
      <c r="E38" s="68" t="s">
        <v>502</v>
      </c>
      <c r="F38" s="68" t="s">
        <v>498</v>
      </c>
      <c r="G38" s="68" t="s">
        <v>501</v>
      </c>
      <c r="H38" s="69" t="s">
        <v>503</v>
      </c>
    </row>
    <row r="39" spans="2:8" x14ac:dyDescent="0.3">
      <c r="B39" s="63">
        <v>2020</v>
      </c>
      <c r="C39" s="4">
        <v>1</v>
      </c>
      <c r="D39" s="4"/>
      <c r="E39" s="4"/>
      <c r="F39" s="4"/>
      <c r="G39" s="4"/>
      <c r="H39" s="64"/>
    </row>
    <row r="40" spans="2:8" x14ac:dyDescent="0.3">
      <c r="B40" s="63">
        <v>2021</v>
      </c>
      <c r="C40" s="4">
        <v>1</v>
      </c>
      <c r="D40" s="4">
        <v>1</v>
      </c>
      <c r="E40" s="4"/>
      <c r="F40" s="4"/>
      <c r="G40" s="4"/>
      <c r="H40" s="64"/>
    </row>
    <row r="41" spans="2:8" x14ac:dyDescent="0.3">
      <c r="B41" s="63">
        <v>2023</v>
      </c>
      <c r="C41" s="4">
        <v>2</v>
      </c>
      <c r="D41" s="4">
        <v>2</v>
      </c>
      <c r="E41" s="4"/>
      <c r="F41" s="4"/>
      <c r="G41" s="4"/>
      <c r="H41" s="64">
        <v>1</v>
      </c>
    </row>
    <row r="42" spans="2:8" x14ac:dyDescent="0.3">
      <c r="B42" s="63">
        <v>2024</v>
      </c>
      <c r="C42" s="4">
        <v>5</v>
      </c>
      <c r="D42" s="4">
        <v>4</v>
      </c>
      <c r="E42" s="4">
        <v>1</v>
      </c>
      <c r="F42" s="4">
        <v>2</v>
      </c>
      <c r="G42" s="4"/>
      <c r="H42" s="64"/>
    </row>
    <row r="43" spans="2:8" x14ac:dyDescent="0.3">
      <c r="B43" s="63">
        <v>2025</v>
      </c>
      <c r="C43" s="4">
        <v>7</v>
      </c>
      <c r="D43" s="4">
        <v>5</v>
      </c>
      <c r="E43" s="4">
        <v>3</v>
      </c>
      <c r="F43" s="4">
        <v>1</v>
      </c>
      <c r="G43" s="4">
        <v>3</v>
      </c>
      <c r="H43" s="64"/>
    </row>
    <row r="44" spans="2:8" ht="15" thickBot="1" x14ac:dyDescent="0.35">
      <c r="B44" s="60" t="s">
        <v>496</v>
      </c>
      <c r="C44" s="65">
        <v>16</v>
      </c>
      <c r="D44" s="65">
        <v>12</v>
      </c>
      <c r="E44" s="65">
        <v>4</v>
      </c>
      <c r="F44" s="65">
        <v>3</v>
      </c>
      <c r="G44" s="65">
        <v>3</v>
      </c>
      <c r="H44" s="66">
        <v>1</v>
      </c>
    </row>
    <row r="45" spans="2:8" ht="15" thickBot="1" x14ac:dyDescent="0.35">
      <c r="B45" s="5"/>
      <c r="C45" s="5"/>
      <c r="D45" s="5"/>
      <c r="E45" s="5"/>
      <c r="F45" s="5"/>
      <c r="G45" s="5"/>
      <c r="H45" s="5"/>
    </row>
    <row r="46" spans="2:8" s="19" customFormat="1" x14ac:dyDescent="0.3">
      <c r="B46" s="72" t="s">
        <v>0</v>
      </c>
      <c r="C46" s="73" t="s">
        <v>503</v>
      </c>
      <c r="D46" s="68" t="s">
        <v>500</v>
      </c>
      <c r="E46" s="68" t="s">
        <v>502</v>
      </c>
      <c r="F46" s="68" t="s">
        <v>501</v>
      </c>
      <c r="G46" s="68" t="s">
        <v>499</v>
      </c>
      <c r="H46" s="69" t="s">
        <v>498</v>
      </c>
    </row>
    <row r="47" spans="2:8" x14ac:dyDescent="0.3">
      <c r="B47" s="63">
        <v>2022</v>
      </c>
      <c r="C47" s="4">
        <v>2</v>
      </c>
      <c r="D47" s="4">
        <v>2</v>
      </c>
      <c r="E47" s="4"/>
      <c r="F47" s="4"/>
      <c r="G47" s="4"/>
      <c r="H47" s="64">
        <v>1</v>
      </c>
    </row>
    <row r="48" spans="2:8" x14ac:dyDescent="0.3">
      <c r="B48" s="63">
        <v>2023</v>
      </c>
      <c r="C48" s="4">
        <v>2</v>
      </c>
      <c r="D48" s="4">
        <v>2</v>
      </c>
      <c r="E48" s="4"/>
      <c r="F48" s="4"/>
      <c r="G48" s="4">
        <v>1</v>
      </c>
      <c r="H48" s="64"/>
    </row>
    <row r="49" spans="2:9" x14ac:dyDescent="0.3">
      <c r="B49" s="63">
        <v>2024</v>
      </c>
      <c r="C49" s="4">
        <v>1</v>
      </c>
      <c r="D49" s="4">
        <v>1</v>
      </c>
      <c r="E49" s="4">
        <v>1</v>
      </c>
      <c r="F49" s="4">
        <v>1</v>
      </c>
      <c r="G49" s="4"/>
      <c r="H49" s="64"/>
    </row>
    <row r="50" spans="2:9" ht="15" thickBot="1" x14ac:dyDescent="0.35">
      <c r="B50" s="60" t="s">
        <v>496</v>
      </c>
      <c r="C50" s="65">
        <v>5</v>
      </c>
      <c r="D50" s="65">
        <v>5</v>
      </c>
      <c r="E50" s="65">
        <v>1</v>
      </c>
      <c r="F50" s="65">
        <v>1</v>
      </c>
      <c r="G50" s="65">
        <v>1</v>
      </c>
      <c r="H50" s="66">
        <v>1</v>
      </c>
    </row>
    <row r="51" spans="2:9" ht="15" thickBot="1" x14ac:dyDescent="0.35"/>
    <row r="52" spans="2:9" x14ac:dyDescent="0.3">
      <c r="B52" s="29" t="s">
        <v>497</v>
      </c>
      <c r="C52" s="73" t="s">
        <v>541</v>
      </c>
      <c r="D52" s="3" t="s">
        <v>500</v>
      </c>
      <c r="E52" s="3" t="s">
        <v>503</v>
      </c>
      <c r="F52" s="3" t="s">
        <v>502</v>
      </c>
      <c r="G52" s="3" t="s">
        <v>501</v>
      </c>
      <c r="H52" s="3" t="s">
        <v>498</v>
      </c>
      <c r="I52" s="3" t="s">
        <v>499</v>
      </c>
    </row>
    <row r="53" spans="2:9" x14ac:dyDescent="0.3">
      <c r="B53" s="7">
        <v>2020</v>
      </c>
      <c r="C53" s="3">
        <v>1</v>
      </c>
      <c r="D53" s="3"/>
      <c r="E53" s="3"/>
      <c r="F53" s="3"/>
      <c r="G53" s="3">
        <v>1</v>
      </c>
      <c r="H53" s="3"/>
      <c r="I53" s="3"/>
    </row>
    <row r="54" spans="2:9" x14ac:dyDescent="0.3">
      <c r="B54" s="7">
        <v>2022</v>
      </c>
      <c r="C54" s="3">
        <v>1</v>
      </c>
      <c r="D54" s="3">
        <v>1</v>
      </c>
      <c r="E54" s="3"/>
      <c r="F54" s="3">
        <v>1</v>
      </c>
      <c r="G54" s="3">
        <v>1</v>
      </c>
      <c r="H54" s="3"/>
      <c r="I54" s="3"/>
    </row>
    <row r="55" spans="2:9" x14ac:dyDescent="0.3">
      <c r="B55" s="7">
        <v>2023</v>
      </c>
      <c r="C55" s="3">
        <v>1</v>
      </c>
      <c r="D55" s="3">
        <v>1</v>
      </c>
      <c r="E55" s="3"/>
      <c r="F55" s="3"/>
      <c r="G55" s="3"/>
      <c r="H55" s="3">
        <v>1</v>
      </c>
      <c r="I55" s="3"/>
    </row>
    <row r="56" spans="2:9" x14ac:dyDescent="0.3">
      <c r="B56" s="7">
        <v>2024</v>
      </c>
      <c r="C56" s="3">
        <v>3</v>
      </c>
      <c r="D56" s="3">
        <v>2</v>
      </c>
      <c r="E56" s="3"/>
      <c r="F56" s="3">
        <v>3</v>
      </c>
      <c r="G56" s="3">
        <v>1</v>
      </c>
      <c r="H56" s="3">
        <v>1</v>
      </c>
      <c r="I56" s="3"/>
    </row>
    <row r="57" spans="2:9" x14ac:dyDescent="0.3">
      <c r="B57" s="7">
        <v>2025</v>
      </c>
      <c r="C57" s="3">
        <v>4</v>
      </c>
      <c r="D57" s="3">
        <v>3</v>
      </c>
      <c r="E57" s="3"/>
      <c r="F57" s="3">
        <v>2</v>
      </c>
      <c r="G57" s="3">
        <v>2</v>
      </c>
      <c r="H57" s="3">
        <v>1</v>
      </c>
      <c r="I57" s="3">
        <v>3</v>
      </c>
    </row>
    <row r="58" spans="2:9" x14ac:dyDescent="0.3">
      <c r="B58" s="7" t="s">
        <v>496</v>
      </c>
      <c r="C58" s="3">
        <v>10</v>
      </c>
      <c r="D58" s="3">
        <v>7</v>
      </c>
      <c r="E58" s="3"/>
      <c r="F58" s="3">
        <v>6</v>
      </c>
      <c r="G58" s="3">
        <v>5</v>
      </c>
      <c r="H58" s="3">
        <v>3</v>
      </c>
      <c r="I58" s="3">
        <v>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9377D09-EBF1-4E12-8884-2F8E845B40B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Main</vt:lpstr>
      <vt:lpstr>Latency</vt:lpstr>
      <vt:lpstr>Cost</vt:lpstr>
      <vt:lpstr>Executuin time</vt:lpstr>
      <vt:lpstr>Workload</vt:lpstr>
      <vt:lpstr>Cold start</vt:lpstr>
      <vt:lpstr>Resource Allocation</vt:lpstr>
      <vt:lpstr>Throughput</vt:lpstr>
      <vt:lpstr>All statistics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zaid naif</cp:lastModifiedBy>
  <dcterms:created xsi:type="dcterms:W3CDTF">2015-06-05T18:17:20Z</dcterms:created>
  <dcterms:modified xsi:type="dcterms:W3CDTF">2025-11-30T18:59:48Z</dcterms:modified>
</cp:coreProperties>
</file>