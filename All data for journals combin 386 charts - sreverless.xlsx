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PhD papers\1 Semester-Proposal Files\2- Systimatic Review 1st Paper (Performance optimization in serverless cloud computing)\1 AAll My Selected DataBase\"/>
    </mc:Choice>
  </mc:AlternateContent>
  <xr:revisionPtr revIDLastSave="0" documentId="13_ncr:1_{81DC8049-139F-4230-90B7-718B4B9719F9}" xr6:coauthVersionLast="47" xr6:coauthVersionMax="47" xr10:uidLastSave="{00000000-0000-0000-0000-000000000000}"/>
  <bookViews>
    <workbookView xWindow="-108" yWindow="-108" windowWidth="23256" windowHeight="12456" activeTab="6" xr2:uid="{00000000-000D-0000-FFFF-FFFF00000000}"/>
  </bookViews>
  <sheets>
    <sheet name="ACM 51" sheetId="1" r:id="rId1"/>
    <sheet name="IEEE 50" sheetId="2" r:id="rId2"/>
    <sheet name="MDPI 5" sheetId="3" r:id="rId3"/>
    <sheet name="Science Direct 137" sheetId="4" r:id="rId4"/>
    <sheet name="Scopus 153" sheetId="5" r:id="rId5"/>
    <sheet name="Web of Science 54" sheetId="6" r:id="rId6"/>
    <sheet name="all in one 386" sheetId="7" r:id="rId7"/>
  </sheet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7" l="1"/>
  <c r="K273" i="7"/>
  <c r="K81" i="7"/>
  <c r="K82" i="7"/>
  <c r="K21" i="7"/>
  <c r="K83" i="7"/>
  <c r="K280" i="7"/>
  <c r="K281" i="7"/>
  <c r="K282" i="7"/>
  <c r="K372" i="7"/>
  <c r="K22" i="7"/>
  <c r="K28" i="7"/>
  <c r="K84" i="7"/>
  <c r="K85" i="7"/>
  <c r="K274" i="7"/>
  <c r="K283" i="7"/>
  <c r="K296" i="7"/>
  <c r="K373" i="7"/>
  <c r="K276" i="7"/>
  <c r="K277" i="7"/>
  <c r="K286" i="7"/>
  <c r="K374" i="7"/>
  <c r="K375" i="7"/>
  <c r="K19" i="7"/>
  <c r="K54" i="7"/>
  <c r="K381" i="7"/>
  <c r="K181" i="7"/>
  <c r="K387" i="7" l="1"/>
  <c r="K379" i="7"/>
  <c r="K378" i="7"/>
  <c r="K362" i="7"/>
  <c r="K357" i="7"/>
  <c r="K293" i="7"/>
  <c r="K279" i="7"/>
  <c r="K265" i="7"/>
  <c r="K260" i="7"/>
  <c r="K259" i="7"/>
  <c r="K258" i="7"/>
  <c r="K252" i="7"/>
  <c r="K251" i="7"/>
  <c r="K246" i="7"/>
  <c r="K244" i="7"/>
  <c r="K243" i="7"/>
  <c r="K242" i="7"/>
  <c r="K241" i="7"/>
  <c r="K240" i="7"/>
  <c r="K230" i="7"/>
  <c r="K229" i="7"/>
  <c r="K226" i="7"/>
  <c r="K225" i="7"/>
  <c r="K221" i="7"/>
  <c r="K220" i="7"/>
  <c r="K219" i="7"/>
  <c r="K217" i="7"/>
  <c r="K216" i="7"/>
  <c r="K215" i="7"/>
  <c r="K214" i="7"/>
  <c r="K213" i="7"/>
  <c r="K212" i="7"/>
  <c r="K207" i="7"/>
  <c r="K205" i="7"/>
  <c r="K201" i="7"/>
  <c r="K200" i="7"/>
  <c r="K199" i="7"/>
  <c r="K192" i="7"/>
  <c r="K190" i="7"/>
  <c r="K189" i="7"/>
  <c r="K188" i="7"/>
  <c r="K187" i="7"/>
  <c r="K176" i="7"/>
  <c r="K175" i="7"/>
  <c r="K174" i="7"/>
  <c r="K173" i="7"/>
  <c r="K172" i="7"/>
  <c r="K171" i="7"/>
  <c r="K78" i="7"/>
  <c r="K58" i="7"/>
  <c r="K57" i="7"/>
  <c r="K56" i="7"/>
  <c r="K39" i="7"/>
  <c r="K10" i="7"/>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64AE86-4D1A-46D5-9CA1-98423416037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<sst xmlns="http://schemas.openxmlformats.org/spreadsheetml/2006/main" count="8215" uniqueCount="2995">
  <si>
    <t>Publisher</t>
  </si>
  <si>
    <t>Publication Year</t>
  </si>
  <si>
    <t>Publication Title</t>
  </si>
  <si>
    <t>Author</t>
  </si>
  <si>
    <t>Title</t>
  </si>
  <si>
    <t>ISSN</t>
  </si>
  <si>
    <t>DOI</t>
  </si>
  <si>
    <t>Url</t>
  </si>
  <si>
    <t>Abstract Note</t>
  </si>
  <si>
    <t>Date</t>
  </si>
  <si>
    <t>Date Added</t>
  </si>
  <si>
    <t>Date Modified</t>
  </si>
  <si>
    <t>Extra</t>
  </si>
  <si>
    <t>Manual Tags</t>
  </si>
  <si>
    <t>ACM</t>
  </si>
  <si>
    <t>Place: New York, NY, USA Publisher: Association for Computing Machinery</t>
  </si>
  <si>
    <t>Proc. ACM Meas. Anal. Comput. Syst.</t>
  </si>
  <si>
    <t>Proc. VLDB Endow.</t>
  </si>
  <si>
    <t>Sen, Rathijit; Jindal, Alekh; Patel, Hiren; Qiao, Shi</t>
  </si>
  <si>
    <t>AutoToken: predicting peak parallelism for big data analytics at Microsoft</t>
  </si>
  <si>
    <t>2150-8097</t>
  </si>
  <si>
    <t>10.14778/3415478.3415554</t>
  </si>
  <si>
    <t>https://doi.org/10.14778/3415478.3415554</t>
  </si>
  <si>
    <t>Right-sizing resource allocation for big-data queries, particularly in serverless environments, is critical for improving infrastructure operational efficiency, capacity availability, query performance predictability, and for reducing unnecessary wait times. In this paper, we present AutoToken — a simple and effective predictor for estimating the peak resource usage of recurring big data queries. It uses multiple query plan identifiers to identify recurring query templates and to learn models with the goal of reducing over-allocation in future instances of those queries. AutoToken is computationally light, for both training and scoring, is easily deployable at scale, and is integrated with the Peregrine workload optimization infrastructure at Microsoft. We extensively evaluate AutoToken on SCOPE jobs from our production clusters and show that it outperforms state-of-the-art solutions for peak resource estimation.We also discuss our plans towards supporting repeatable and extensible research on resource prediction for SCOPE jobs, including describing a simulation methodology for generating arbitrary-sized datasets with similar characteristics as the production datasets.</t>
  </si>
  <si>
    <t>2020-08</t>
  </si>
  <si>
    <t>Publisher: VLDB Endowment</t>
  </si>
  <si>
    <t>ACM Comput. Surv.</t>
  </si>
  <si>
    <t>0360-0300</t>
  </si>
  <si>
    <t>Koutsoukos, Dimitrios; Müller, Ingo; Marroquín, Renato; Klimovic, Ana; Alonso, Gustavo</t>
  </si>
  <si>
    <t>Modularis: modular relational analytics over heterogeneous distributed platforms</t>
  </si>
  <si>
    <t>10.14778/3484224.3484229</t>
  </si>
  <si>
    <t>https://doi.org/10.14778/3484224.3484229</t>
  </si>
  <si>
    <t>The enormous quantity of data produced every day together with advances in data analytics has led to a proliferation of data management and analysis systems. Typically, these systems are built around highly specialized monolithic operators optimized for the underlying hardware. While effective in the short term, such an approach makes the operators cumbersome to port and adapt, which is increasingly required due to the speed at which algorithms and hardware evolve. To address this limitation, we present Modularis, an execution layer for data analytics based on sub-operators, i.e., composable building blocks resembling traditional database operators but at a finer granularity. To demonstrate the feasibility and advantages of our approach, we use Modularis to build a distributed query processing system supporting relational queries running on an RDMA cluster, a serverless cloud platform, and a smart storage engine. Modularis requires minimal code changes to execute queries across these three diverse hardware platforms, showing that the sub-operator approach reduces the amount and complexity of the code to maintain. In fact, changes in the platform affect only those sub-operators that depend on the underlying hardware (in our use cases, mainly the sub-operators related to network communication). We show the end-to-end performance of Modularis by comparing it with a framework for SQL processing (Presto), a commercial cluster database (SingleStore), as well as Query-as-a-Service systems (Athena, BigQuery). Modularis outperforms all these systems, proving that the design and architectural advantages of a modular design can be achieved without degrading performance. We also compare Modularis with a hand-optimized implementation of a join for RDMA clusters. We show that Modularis has the advantage of being easily extensible to a wider range of join variants and group by queries, all of which are not supported in the hand-tuned join.</t>
  </si>
  <si>
    <t>2021-09</t>
  </si>
  <si>
    <t>ACM Trans. Auton. Adapt. Syst.</t>
  </si>
  <si>
    <t>1556-4665</t>
  </si>
  <si>
    <t>IEEE/ACM Trans. Netw.</t>
  </si>
  <si>
    <t>1063-6692</t>
  </si>
  <si>
    <t>Publisher: IEEE Press</t>
  </si>
  <si>
    <t>Dramé-Maigné, Sophie; Laurent, Maryline; Castillo, Laurent; Ganem, Hervé</t>
  </si>
  <si>
    <t>Centralized, Distributed, and Everything in between: Reviewing Access Control Solutions for the IoT</t>
  </si>
  <si>
    <t>10.1145/3465170</t>
  </si>
  <si>
    <t>https://doi.org/10.1145/3465170</t>
  </si>
  <si>
    <t>The Internet of Things is taking hold in our everyday life. Regrettably, the security of IoT devices is often being overlooked. Among the vast array of security issues plaguing the emerging IoT, we decide to focus on access control, as privacy, trust, and other security properties cannot be achieved without controlled access. This article classifies IoT access control solutions from the literature according to their architecture (e.g., centralized, hierarchical, federated, distributed) and examines the suitability of each one for access control purposes. Our analysis concludes that important properties such as auditability and revocation are missing from many proposals while hierarchical and federated architectures are neglected by the community. Finally, we provide an architecture-based taxonomy and future research directions: a focus on hybrid architectures, usability, flexibility, privacy, and revocation schemes in serverless authorization.</t>
  </si>
  <si>
    <t>ACM Trans. Storage</t>
  </si>
  <si>
    <t>1553-3077</t>
  </si>
  <si>
    <t>ACM Trans. Softw. Eng. Methodol.</t>
  </si>
  <si>
    <t>Barcelona-Pons, Daniel; Sutra, Pierre; Sánchez-Artigas, Marc; París, Gerard; García-López, Pedro</t>
  </si>
  <si>
    <t>Stateful Serverless Computing with Crucial</t>
  </si>
  <si>
    <t>1049-331X</t>
  </si>
  <si>
    <t>10.1145/3490386</t>
  </si>
  <si>
    <t>https://doi.org/10.1145/3490386</t>
  </si>
  <si>
    <t>Serverless computing greatly simplifies the use of cloud resources. In particular, Function-as-a-Service (FaaS) platforms enable programmers to develop applications as individual functions that can run and scale independently. Unfortunately, applications that require fine-grained support for mutable state and synchronization, such as machine learning (ML) and scientific computing, are notoriously hard to build with this new paradigm. In this work, we aim at bridging this gap. We present Crucial, a system to program highly-parallel stateful serverless applications. Crucial retains the simplicity of serverless computing. It is built upon the key insight that FaaS resembles to concurrent programming at the scale of a datacenter. Accordingly, a distributed shared memory layer is the natural answer to the needs for fine-grained state management and synchronization. Crucial allows to port effortlessly a multi-threaded code base to serverless, where it can benefit from the scalability and pay-per-use model of FaaS platforms. We validate Crucial with the help of micro-benchmarks and by considering various stateful applications. Beyond classical parallel tasks (e.g., a Monte Carlo simulation), these applications include representative ML algorithms such as k-means and logistic regression. Our evaluation shows that Crucial obtains superior or comparable performance to Apache Spark at similar cost (18%–40% faster). We also use Crucial to port (part of) a state-of-the-art multi-threaded ML library to serverless. The ported application is up to 30% faster than with a dedicated high-end server. Finally, we attest that Crucial can rival in performance with a single-machine, multi-threaded implementation of a complex coordination problem. Overall, Crucial delivers all these benefits with less than 6% of changes in the code bases of the evaluated applications.</t>
  </si>
  <si>
    <t>2022-03</t>
  </si>
  <si>
    <t>Tütüncüoğlu, Feridun; Jošilo, Sla\djana; Dán, György</t>
  </si>
  <si>
    <t>Online Learning for Rate-Adaptive Task Offloading Under Latency Constraints in Serverless Edge Computing</t>
  </si>
  <si>
    <t>10.1109/TNET.2022.3197669</t>
  </si>
  <si>
    <t>https://doi.org/10.1109/TNET.2022.3197669</t>
  </si>
  <si>
    <t>We consider the interplay between latency constrained applications and function-level resource management in a serverless edge computing environment. We develop a game theoretic model of the interaction between rate adaptive applications and a load balancing operator under a function-oriented pay-as-you-go pricing model. We show that under perfect information, the strategic interaction between the applications can be formulated as a generalized Nash equilibrium problem, and use variational inequality theory to prove that the game admits an equilibrium. For the case of imperfect information, we propose an online learning algorithm for applications to maximize their utility through rate adaptation and resource reservation. We show that the proposed algorithm can converge to equilibria and achieves zero regret asymptotically, and our simulation results show that the algorithm achieves good system performance at equilibrium, ensures fast convergence, and enables applications to meet their latency constraints.</t>
  </si>
  <si>
    <t>2022-08</t>
  </si>
  <si>
    <t>Zhang, Miao; Zhu, Yifei; Liu, Jiangchuan; Wang, Feng; Wang, Fangxin</t>
  </si>
  <si>
    <t>CharmSeeker: Automated Pipeline Configuration for Serverless Video Processing</t>
  </si>
  <si>
    <t>10.1109/TNET.2022.3183231</t>
  </si>
  <si>
    <t>https://doi.org/10.1109/TNET.2022.3183231</t>
  </si>
  <si>
    <t>Video processing plays an essential role in a wide range of cloud-based applications. It typically involves multiple pipelined stages, which well fits the latest fine-grained serverless computing paradigm if properly configured to match the cost and delay constraints of video. Existing configuration tools, however, are primarily developed for traditional virtual machine clusters with general workloads. This paper presents CharmSeeker, an automated configuration tuning tool for serverless video processing pipelines. We first carefully examine the key steps and the performance bottlenecks for video processing over modern serverless platforms. Then, we identify the configuration space for processing pipelines and leverage a carefully designed Sequential Bayesian Optimization search scheme to identify promising configurations. We further address the practical challenges toward integrating our solution into real-world systems and develop a prototype with AWS Lambda. Evaluation results show that CharmSeeker can find out the optimal or near-optimal configurations that improve the relative processing time up to 408.77%. It is also more robust and scalable to various video processing pipelines compared with state-of-the-art solutions.</t>
  </si>
  <si>
    <t>2022-06</t>
  </si>
  <si>
    <t>Ali, Ahsan; Pinciroli, Riccardo; Yan, Feng; Smirni, Evgenia</t>
  </si>
  <si>
    <t>Optimizing inference serving on serverless platforms</t>
  </si>
  <si>
    <t>10.14778/3547305.3547313</t>
  </si>
  <si>
    <t>https://doi.org/10.14778/3547305.3547313</t>
  </si>
  <si>
    <t>Serverless computing is gaining popularity for machine learning (ML) serving workload due to its autonomous resource scaling, easy to use and pay-per-use cost model. Existing serverless platforms work well for image-based ML inference, where requests are homogeneous in service demands. That said, recent advances in natural language processing could not fully benefit from existing serverless platforms as their requests are intrinsically heterogeneous.Batching requests for processing can significantly increase ML serving efficiency while reducing monetary cost, thanks to the pay-per-use pricing model adopted by serverless platforms. Yet, batching heterogeneous ML requests leads to additional computation overhead as small requests need to be "padded" to the same size as large requests within the same batch. Reaching effective batching decisions (i.e., which requests should be batched together and why) is non-trivial: the padding overhead coupled with the serverless auto-scaling forms a complex optimization problem.To address this, we develop Multi-Buffer Serving (MBS), a framework that optimizes the batching of heterogeneous ML inference serving requests to minimize their monetary cost while meeting their service level objectives (SLOs). The core of MBS is a performance and cost estimator driven by analytical models supercharged by a Bayesian optimizer. MBS is prototyped and evaluated on AWS using bursty workloads. Experimental results show that MBS preserves SLOs while outperforming the state-of-the-art by up to 8 x in terms of cost savings while minimizing the padding overhead by up to 37 x with 3 x less number of serverless function invocations.</t>
  </si>
  <si>
    <t>Liu, Yunzhuo; Jiang, Bo; Guo, Tian; Huang, Zimeng; Ma, Wenhao; Wang, Xinbing; Zhou, Chenghu</t>
  </si>
  <si>
    <t>FuncPipe: A Pipelined Serverless Framework for Fast and Cost-Efficient Training of Deep Learning Models</t>
  </si>
  <si>
    <t>10.1145/3570607</t>
  </si>
  <si>
    <t>https://doi.org/10.1145/3570607</t>
  </si>
  <si>
    <t>Training deep learning (DL) models in the cloud has become a norm. With the emergence of serverless computing and its benefits of true pay-as-you-go pricing and scalability, systems researchers have recently started to provide support for serverless-based training. However, the ability to train DL models on serverless platforms is hindered by the resource limitations of today's serverless infrastructure and DL models' explosive requirement for memory and bandwidth. This paper describes FuncPipe, a novel pipelined training framework specifically designed for serverless platforms that enable fast and low-cost training of DL models. FuncPipe is designed with the key insight that model partitioning can be leveraged to bridge both memory and bandwidth gaps between the capacity of serverless functions and the requirement of DL training. Conceptually simple, we have to answer several design questions, including how to partition the model, configure each serverless function, and exploit each function's uplink/downlink bandwidth. In particular, we tailor a micro-batch scheduling policy for the serverless environment, which serves as the basis for the subsequent optimization. Our Mixed-Integer Quadratic Programming formulation automatically and simultaneously configures serverless resources and partitions models to fit within the resource constraints. Lastly, we improve the bandwidth efficiency of storage-based synchronization with a novel pipelined scatter-reduce algorithm. We implement FuncPipe on two popular cloud serverless platforms and show that it achieves 7%-77% cost savings and 1.3X-2.2X speedup compared to state-of-the-art serverless-based frameworks.</t>
  </si>
  <si>
    <t>2022-12</t>
  </si>
  <si>
    <t>distributed training; pipeline parallelism; serverless function</t>
  </si>
  <si>
    <t>ACM Trans. Graph.</t>
  </si>
  <si>
    <t>Fouladi, Sadjad; Shacklett, Brennan; Poms, Fait; Arora, Arjun; Ozdemir, Alex; Raghavan, Deepti; Hanrahan, Pat; Fatahalian, Kayvon; Winstein, Keith</t>
  </si>
  <si>
    <t>R2E2: low-latency path tracing of terabyte-scale scenes using thousands of cloud CPUs</t>
  </si>
  <si>
    <t>0730-0301</t>
  </si>
  <si>
    <t>10.1145/3528223.3530171</t>
  </si>
  <si>
    <t>https://doi.org/10.1145/3528223.3530171</t>
  </si>
  <si>
    <t>In this paper we explore the viability of path tracing massive scenes using a "supercomputer" constructed on-the-fly from thousands of small, serverless cloud computing nodes. We present R2E2 (Really Elastic Ray Engine) a scene decomposition-based parallel renderer that rapidly acquires thousands of cloud CPU cores, loads scene geometry from a pre-built scene BVH into the aggregate memory of these nodes in parallel, and performs full path traced global illumination using an inter-node messaging service designed for communicating ray data. To balance ray tracing work across many nodes, R2E2 adopts a service-oriented design that statically replicates geometry and texture data from frequently traversed scene regions onto multiple nodes based on estimates of load, and dynamically assigns ray tracing work to lightly loaded nodes holding the required data. We port pbrt's ray-scene intersection components to the R2E2 architecture, and demonstrate that scenes with up to a terabyte of geometry and texture data (where as little as 1/250th of the scene can fit on any one node) can be path traced at 4K resolution, in tens of seconds using thousands of tiny serverless nodes on the AWS Lambda platform.</t>
  </si>
  <si>
    <t>2022-07</t>
  </si>
  <si>
    <t>Mahgoub, Ashraf; Yi, Edgardo Barsallo; Shankar, Karthick; Minocha, Eshaan; Elnikety, Sameh; Bagchi, Saurabh; Chaterji, Somali</t>
  </si>
  <si>
    <t>WISEFUSE: Workload Characterization and DAG Transformation for Serverless Workflows</t>
  </si>
  <si>
    <t>10.1145/3530892</t>
  </si>
  <si>
    <t>https://doi.org/10.1145/3530892</t>
  </si>
  <si>
    <t>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or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workers to reduce skew. (3) Resource Allocation assigns the right VM size to each function or function bundle in the DAG to reduce the E2E latency and cost. We implement WISEFUSE to evaluate it experimentally using three popular serverless applications with different DAG structures, memory footprints, and intermediate data sizes. Compared to competing approaches and other alternatives, WISEFUSE shows significant improvements in E2E latency and cost. Specifically, for a machine learning pipeline, WISEFUSE achieves P95 latency that is 67% lower than Photons, 39% lower than Faastlane, and 90% lower than SONIC without increasing the cost.</t>
  </si>
  <si>
    <t>Li, Guoliang; Dong, Haowen; Zhang, Chao</t>
  </si>
  <si>
    <t>Cloud databases: new techniques, challenges, and opportunities</t>
  </si>
  <si>
    <t>10.14778/3554821.3554893</t>
  </si>
  <si>
    <t>https://doi.org/10.14778/3554821.3554893</t>
  </si>
  <si>
    <t>As database vendors are increasingly moving towards the cloud data service, i.e., databases as a service (DBaaS), cloud databases have become prevalent. Compared with the early cloud-hosted databases, the new generation of cloud databases, also known as cloud-native databases, seek for higher elasticity and lower cost by developing new techniques, e.g., compute-storage disaggregation and the log is the database. To better harness the power of these cloud databases, it is important to study and compare the pros and cons of their key techniques. In this tutorial, we offer a comprehensive survey of cloud-native databases. Based on various system architectures, we introduce a taxonomy for the state-of-the-art cloud-native OLTP databases and OLAP databases, respectively. We then take a deep dive into their key techniques regarding storage management, transaction processing, analytical processing, data replication, serverless computing, database recovery, and security. Finally, we discuss the research challenges and opportunities.</t>
  </si>
  <si>
    <t>ACM Trans. Reconfigurable Technol. Syst.</t>
  </si>
  <si>
    <t>Damiani, Andrea; Fiscaletti, Giorgia; Bacis, Marco; Brondolin, Rolando; Santambrogio, Marco D.</t>
  </si>
  <si>
    <t>BlastFunction: A Full-stack Framework Bringing FPGA Hardware Acceleration to Cloud-native Applications</t>
  </si>
  <si>
    <t>1936-7406</t>
  </si>
  <si>
    <t>10.1145/3472958</t>
  </si>
  <si>
    <t>https://doi.org/10.1145/3472958</t>
  </si>
  <si>
    <t>“Cloud-native” is the umbrella adjective describing the standard approach for developing applications that exploit cloud infrastructures’ scalability and elasticity at their best. As the application complexity and user-bases grow, designing for performance becomes a first-class engineering concern. As an answer to these needs, heterogeneous computing platforms gained widespread attention as powerful tools to continue meeting SLAs for compute-intensive cloud-native workloads. We propose BlastFunction, an FPGA-as-a-Service full-stack framework to ease FPGAs’ adoption for cloud-native workloads, integrating with the vast spectrum of fundamental cloud models. At the IaaS level, BlastFunction time-shares FPGA-based accelerators to provide multi-tenant access to accelerated resources without any code rewriting. At the PaaS level, BlastFunction accelerates functionalities leveraging the serverless model and scales functions proactively, depending on the workload’s performance. Further lowering the FPGAs’ adoption barrier, an accelerators’ registry hosts accelerated functions ready to be used within cloud-native applications, bringing the simplicity of a SaaS-like approach to the developers. After an extensive experimental campaign against state-of-the-art cloud scenarios, we show how BlastFunction leads to higher performance metrics (utilization and throughput) against native execution, with minimal latency and overhead differences. Moreover, the scaling scheme we propose outperforms the main serverless autoscaling algorithms in workload performance and scaling operation amount.</t>
  </si>
  <si>
    <t>2022-01</t>
  </si>
  <si>
    <t>Burckhardt, Sebastian; Chandramouli, Badrish; Gillum, Chris; Justo, David; Kallas, Konstantinos; McMahon, Connor; Meiklejohn, Christopher S.; Zhu, Xiangfeng</t>
  </si>
  <si>
    <t>Netherite: efficient execution of serverless workflows</t>
  </si>
  <si>
    <t>10.14778/3529337.3529344</t>
  </si>
  <si>
    <t>https://doi.org/10.14778/3529337.3529344</t>
  </si>
  <si>
    <t>Serverless is a popular choice for cloud service architects because it can provide scalability and load-based billing with minimal developer effort. Functions-as-a-service (FaaS) are originally stateless, but emerging frameworks add stateful abstractions. For instance, the widely used Durable Functions (DF) allow developers to write advanced serverless applications, including reliable workflows and actors, in a programming language of choice. DF implicitly and continuosly persists the state and progress of applications, which greatly simplifies development, but can create an IOps bottleneck.To improve efficiency, we introduce Netherite, a novel architecture for executing serverless workflows on an elastic cluster. Netherite groups the numerous application objects into a smaller number of partitions, and pipelines the state persistence of each partition. This improves latency and throughput, as it enables workflow steps to group commit, even if causally dependent. Moreover, Netherite leverages FASTER's hybrid log approach to support larger-than-memory application state, and to enable efficient partition movement between compute hosts.Our evaluation shows that (a) Netherite achieves lower latency and higher throughput than the original DF engine, by more than an order of magnitude in some cases, and (b) that Netherite has lower latency than some commonly used alternatives, like AWS Step Functions or cloud storage triggers.</t>
  </si>
  <si>
    <t>2022-04</t>
  </si>
  <si>
    <t>Poppe, Olga; Guo, Qun; Lang, Willis; Arora, Pankaj; Oslake, Morgan; Xu, Shize; Kalhan, Ajay</t>
  </si>
  <si>
    <t>Moneyball: proactive auto-scaling in Microsoft Azure SQL database serverless</t>
  </si>
  <si>
    <t>10.14778/3514061.3514073</t>
  </si>
  <si>
    <t>https://doi.org/10.14778/3514061.3514073</t>
  </si>
  <si>
    <t>Microsoft Azure SQL Database is among the leading relational database service providers in the cloud. Serverless compute automatically scales resources based on workload demand. When a database becomes idle its resources are reclaimed. When activity returns, resources are resumed. Customers pay only for resources they used. However, scaling is currently merely reactive, not proactive, according to customers' workloads. Therefore, resources may not be immediately available when a customer comes back online after a prolonged idle period. In this work, we focus on reducing this delay in resource availability by predicting the pause/resume patterns and proactively resuming resources for each database. Furthermore, we avoid taking away resources for short idle periods to relieve the back-end from ineffective pause/resume workflows. Results of this study are currently being used worldwide to find the middle ground between quality of service and cost of operation.</t>
  </si>
  <si>
    <t>2022-02</t>
  </si>
  <si>
    <t>ACM Trans. Comput. Syst.</t>
  </si>
  <si>
    <t>0734-2071</t>
  </si>
  <si>
    <t>Proc. ACM Program. Lang.</t>
  </si>
  <si>
    <t>Liu, Xuanzhe; Wen, Jinfeng; Chen, Zhenpeng; Li, Ding; Chen, Junkai; Liu, Yi; Wang, Haoyu; Jin, Xin</t>
  </si>
  <si>
    <t>FaaSLight: General Application-level Cold-start Latency Optimization for Function-as-a-Service in Serverless Computing</t>
  </si>
  <si>
    <t>10.1145/3585007</t>
  </si>
  <si>
    <t>https://doi.org/10.1145/3585007</t>
  </si>
  <si>
    <t>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latency.In this article, we propose an approach, namely, FaaSLight, to accelerating the cold start for FaaS applications through application-level optimization. We first conduct a measurement study to investigate the possible root cause of the cold-start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In practice, FaaSLight can be effectively applied to FaaS applications developed in different programming languages (Python and JavaScript), and can be seamlessly deployed on popular serverless platforms such as AWS Lambda and Google Cloud Functions, without having to modify the underlying OSes or hypervisors, nor introducing any additional manual engineering efforts to developers.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 improvement in reducing the average total response latency.</t>
  </si>
  <si>
    <t>2023-07</t>
  </si>
  <si>
    <t>Zhang, Jingyuan; Wang, Ao; Ma, Xiaolong; Carver, Benjamin; Newman, Nicholas John; Anwar, Ali; Rupprecht, Lukas; Tarasov, Vasily; Skourtis, Dimitrios; Yan, Feng; Cheng, Yue</t>
  </si>
  <si>
    <t>InfiniStore: Elastic Serverless Cloud Storage</t>
  </si>
  <si>
    <t>10.14778/3587136.3587139</t>
  </si>
  <si>
    <t>https://doi.org/10.14778/3587136.3587139</t>
  </si>
  <si>
    <t>Cloud object storage such as AWS S3 is cost-effective and highly elastic but relatively slow, while high-performance cloud storage such as AWS ElastiCache is expensive and provides limited elasticity. We present a new cloud storage service called ServerlessMemory, which stores data using the memory of serverless functions. ServerlessMemory employs a sliding-window-based memory management strategy inspired by the garbage collection mechanisms used in the programming language to effectively segregate hot/cold data and provides fine-grained elasticity, good performance, and a pay-per-access cost model with extremely low cost.We then design and implement InfiniStore, a persistent and elastic cloud storage system, which seamlessly couples the function-based ServerlessMemory layer with a persistent, inexpensive cloud object store layer. InfiniStore enables durability despite function failures using a fast parallel recovery scheme built on the auto-scaling functionality of a FaaS (Function-as-a-Service) platform. We evaluate InfiniStore extensively using both microbenchmarking and two real-world applications. Results show that InfiniStore has more performance benefits for objects larger than 10 MB compared to AWS ElastiCache and Anna, and InfiniStore achieves 26.25% and 97.24% tenant-side cost reduction compared to InfiniCache and ElastiCache, respectively.</t>
  </si>
  <si>
    <t>2023-03</t>
  </si>
  <si>
    <t>Proc. ACM Manag. Data</t>
  </si>
  <si>
    <t>Bian, Haoqiong; Sha, Tiannan; Ailamaki, Anastasia</t>
  </si>
  <si>
    <t>Using Cloud Functions as Accelerator for Elastic Data Analytics</t>
  </si>
  <si>
    <t>10.1145/3589306</t>
  </si>
  <si>
    <t>https://doi.org/10.1145/3589306</t>
  </si>
  <si>
    <t>Cloud function (CF) services, such as AWS Lambda, have been applied as the new computing infrastructure in implementing analytical query engines. For bursty and sparse workloads, CF-based query engine is more elastic than the traditional query engines running in servers, i.e., virtual machines (VMs), and might provide a higher performance/price ratio. However, it is still controversial whether CF services are good suites for general analytical workloads, in respect of the limitations of CFs in storage, network, and lifetime, as well as the much higher resource unit prices than VMs.In this paper, we first present micro-benchmark evaluations of the features of CF and VM. We reveal that for query processing, though CF is more elastic than VM, it is less scalable and is more expensive for continuous workloads. Then, to get the best of both worlds, we propose Pixels-Turbo - a hybrid query engine that processes queries in a scalable VM cluster by default and invokes CFs to accelerate the processing of unpredictable workload spikes. In the query engine, we propose several optimizations to improve the performance and scalability of the CF-based operators and a cost-based optimizer to select the appropriate algorithm and parallelism for the physical query plan. Evaluations on TPC-H and real-world workload show that our query engine has a 1-2 orders of magnitude higher performance/price ratio than state-of-the-art serverless query engines for sustained workloads while not compromising the elasticity for workload spikes.</t>
  </si>
  <si>
    <t>2023-06</t>
  </si>
  <si>
    <t>Kallas, Konstantinos; Zhang, Haoran; Alur, Rajeev; Angel, Sebastian; Liu, Vincent</t>
  </si>
  <si>
    <t>Executing Microservice Applications on Serverless, Correctly</t>
  </si>
  <si>
    <t>10.1145/3571206</t>
  </si>
  <si>
    <t>https://doi.org/10.1145/3571206</t>
  </si>
  <si>
    <t>While serverless platforms substantially simplify the provisioning, configuration, and management of cloud applications, implementing correct services on top of these platforms can present significant challenges to programmers. For example, serverless infrastructures introduce a host of failure modes that are not present in traditional deployments. Individual serverless instances can fail while others continue to make progress, correct but slow instances can be killed by the cloud provider as part of resource management, and providers will often respond to such failures by re-executing requests. For functions with side-effects, these scenarios can create behaviors that are not observable in serverful deployments. In this paper, we propose mu2sls, a framework for implementing microservice applications on serverless using standard Python code with two extra primitives: transactions and asynchronous calls. Our framework orchestrates user-written services to address several challenges, such as failures and re-executions, and provides formal guarantees that the generated serverless implementations are correct. To that end, we present a novel service specification abstraction and formalization of serverless implementations that facilitate reasoning about the correctness of a given application’s serverless implementation. This formalization forms the basis of the mu2sls prototype, which we then use to develop a few real-world microservice applications and show that the performance of the generated serverless implementations achieves significant scalability (3-5× the throughput of a sequential implementation) while providing correctness guarantees in the context of faults, re-execution, and concurrency.</t>
  </si>
  <si>
    <t>2023-01</t>
  </si>
  <si>
    <t>Svingos, Christoforos; Hernich, Andre; Gildhoff, Hinnerk; Papakonstantinou, Yannis; Ioannidis, Yannis</t>
  </si>
  <si>
    <t>Foreign Keys Open the Door for Faster Incremental View Maintenance</t>
  </si>
  <si>
    <t>10.1145/3588720</t>
  </si>
  <si>
    <t>https://doi.org/10.1145/3588720</t>
  </si>
  <si>
    <t>Serverless cloud-based warehousing systems enable users to create materialized views in order to speed up predictable and repeated query workloads. Incremental view maintenance (IVM) minimizes the time needed to bring a materialized view up-to-date. It allows the refresh of a materialized view solely based on the base table changes since the last refresh. In serverless cloud-based warehouses, IVM uses computations defined as SQL scripts that update the materialized view based on updates to its base tables. However, the scripts set up for materialized views with inner joins are not optimal in the presence of foreign key constraints. For instance, for a join of two tables, the state of the art IVM computations use a UNION ALL operator of two joins - one computing the contributions to the join from updates to the first table and the other one computing the remaining contributions from the second table. Knowing that one of the join keys is a foreign-key would allow us to prune all but one of the UNION ALL branches and obtain a more efficient IVM script. In this work, we explore ways of incorporating knowledge about foreign key into IVM in order to speed up its performance. Experiments in Redshift showed that the proposed technique improved the execution times of the whole refresh process up to 2 times, and up to 2.7 times the process of calculating the necessary changes that will be applied into the materialized view.</t>
  </si>
  <si>
    <t>2023-05</t>
  </si>
  <si>
    <t>ACM Trans. Archit. Code Optim.</t>
  </si>
  <si>
    <t>1544-3566</t>
  </si>
  <si>
    <t>Spenger, Jonas; Huang, Chengyang; Haller, Philipp; Carbone, Paris</t>
  </si>
  <si>
    <t>Portals: A Showcase of Multi-Dataflow Stateful Serverless</t>
  </si>
  <si>
    <t>10.14778/3611540.3611619</t>
  </si>
  <si>
    <t>https://doi.org/10.14778/3611540.3611619</t>
  </si>
  <si>
    <t>Serverless applications spanning the cloud and edge require flexible programming frameworks for expressing compositions across the different levels of deployment. Another critical aspect for applications with state is failure resilience beyond the scope of a single dataflow graph that is the current standard in data streaming systems. This paper presents Portals, an interactive, stateful dataflow composition framework with strong end-to-end guarantees. Portals enables event-driven, resilient applications that span across dataflow graphs and serverless deployments. The demonstration exhibits three scenarios in our multi-dataflow streaming-based system: dynamically composing a stateful serverless application; an interactive cloud and edge serverless application; and a Portals browser playground.</t>
  </si>
  <si>
    <t>2023-08</t>
  </si>
  <si>
    <t>Yang, Xinjun; Zhang, Yingqiang; Chen, Hao; Sun, Chuan; Li, Feifei; Zhou, Wenchao</t>
  </si>
  <si>
    <t>PolarDB-SCC: A Cloud-Native Database Ensuring Low Latency for Strongly Consistent Reads</t>
  </si>
  <si>
    <t>10.14778/3611540.3611562</t>
  </si>
  <si>
    <t>https://doi.org/10.14778/3611540.3611562</t>
  </si>
  <si>
    <t>A classic design of cloud-native databases adopts an architecture that consists of one read/write (RW) node and one or more read-only (RO) nodes. In such a design, the propagation of write-ahead logs (WALs) from the RW node to the RO node(s) is typically performed asynchronously. Consequently, system designers either have to accept a loose consistency guarantee, where a read from the RO node may return stale data, or tolerate significant performance degradation in terms of read latency, as it then needs to wait for the log to be propagated and applied. Most commercial cloud-native databases, such as Amazon Aurora, choose performance over strong consistency. As a result, it makes RO nodes useless for many applications requiring read-after-write consistency (a form of strong consistency), and the support for serverless databases (i.e., allowing the RO nodes to be scaled out automatically) is impossible as they require a single endpoint.This paper proposes PolarDB-SCC (PolarDB-Strongly Consistent Cluster), a cloud-native database architecture that guarantees strongly consistent reads with very low latency. The core idea is to eliminate unnecessary waits and reduce the necessary wait time on RO nodes while still supporting strong consistency. To achieve this, it tracks the RW node's modification timestamp at three progressively finer-grained levels. We further design a Linear Lamport timestamp to reduce the RO node's timestamp fetching operations and leverage the RDMA network for all the data transferring (e.g., timestamp fetching and log shipment) to minimize network overhead and extra CPU usage. Our evaluation shows that PolarDB-SCC does not incur any noticeable overhead for ensuring strongly consistent reads compared with the eventually consistent (stale) read policy. To the best of our knowledge, PolarDB-SCC is the first "read-write splitting" cloud-native database that supports strongly consistent read with negligible overhead. Compared with a straightforward read-wait design, PolarDB-SCC improves throughput by up to 4.51× and reduces median latency by up to 3.66× in SysBench's read-write workload. PolarDB-SCC is already commercially available at Alibaba Cloud.</t>
  </si>
  <si>
    <t>Russo Russo, Gabriele; Cardellini, Valeria; Lo Presti, Francesco</t>
  </si>
  <si>
    <t>Arora, Pankaj; Chaudhuri, Surajit; Das, Sudipto; Dong, Junfeng; George, Cyril; Kalhan, Ajay; König, Arnd Christian; Lang, Willis; Li, Changsong; Li, Feng; Liu, Jiaqi; Maas, Lukas M.; Mata, Akshay; Menache, Ishai; Moeller, Justin; Narasayya, Vivek; Olma, Matthaios; Oslake, Morgan; Rezai, Elnaz; Shan, Yi; Syamala, Manoj; Xu, Shize; Zois, Vasileios</t>
  </si>
  <si>
    <t>Flexible Resource Allocation for Relational Database-as-a-Service</t>
  </si>
  <si>
    <t>10.14778/3625054.3625058</t>
  </si>
  <si>
    <t>https://doi.org/10.14778/3625054.3625058</t>
  </si>
  <si>
    <t>Oversubscription is an essential cost management strategy for cloud database providers, and its importance is magnified by the emerging paradigm of serverless databases. In contrast to general purpose techniques used for oversubscription in hypervisors, operating systems and cluster managers, we develop techniques that leverage our understanding of how DBMSs use resources and how resource allocations impact database performance. Our techniques are designed to flexibly redistribute resources across database tenants at the node and cluster levels with low overhead. We have implemented our techniques in a commercial cloud database service: Azure SQL Database. Experiments using microbenchmarks, industry-standard benchmarks and real-world resource usage traces show that using our approach, it is possible to tightly control the impact on database performance even with a relatively high degree of oversubscription.</t>
  </si>
  <si>
    <t>2023-09</t>
  </si>
  <si>
    <t>Saxena, Mohit; Sowell, Benjamin; Alamgir, Daiyan; Bahadur, Nitin; Bisht, Bijay; Chandrachood, Santosh; Keswani, Chitti; Krishnamoorthy, G.; Lee, Austin; Li, Bohou; Mitchell, Zach; Porwal, Vaibhav; Chappidi, Maheedhar Reddy; Ross, Brian; Sekiyama, Noritaka; Zaki, Omer; Zhang, Linchi; Shah, Mehul A.</t>
  </si>
  <si>
    <t>The Story of AWS Glue</t>
  </si>
  <si>
    <t>10.14778/3611540.3611547</t>
  </si>
  <si>
    <t>https://doi.org/10.14778/3611540.3611547</t>
  </si>
  <si>
    <t>AWS Glue is Amazon's serverless data integration cloud service that makes it simple and cost effective to extract, clean, enrich, load, and organize data. Originally launched in August 2017, AWS Glue began as an extract-transform-load (ETL) service designed to relieve developers and data engineers of the undifferentiated heavy lifting needed to load databases, data warehouses, and build data lakes on Amazon S3. Since then, it has evolved to serve a larger audience including ETL specialists and data scientists, and includes a broader suite of data integration capabilities. Today, hundreds of thousands of customers use AWS Glue every month.In this paper, we describe the use cases and challenges cloud customers face in preparing data for analytics and the tenets we chose to drive Glue's design. We chose early on to focus on ease-of-use, scale, and extensibility. At its core, Glue offers serverless Apache Spark and Python engines backed by a purpose-built resource manager for fast startup and auto-scaling. In Spark, it offers a new data structure — DynamicFrames — for manipulating messy schema-free semi-structured data such as event logs, a variety of transformations and tooling to simplify data preparation, and a new shuffle plugin to offload to cloud storage. It also includes a Hivemetastore compatible Data Catalog with Glue crawlers to build and manage metadata, e.g. for data lakes on Amazon S3. Finally, Glue Studio is its visual interface for authoring Spark and Python-based ETL jobs. We describe the innovations that differentiate AWS Glue and drive its popularity and how it has evolved over the years.</t>
  </si>
  <si>
    <t>Liu, Xuanzhe; Gu, Diandian; Chen, Zhenpeng; Wen, Jinfeng; Zhang, Zili; Ma, Yun; Wang, Haoyu; Jin, Xin</t>
  </si>
  <si>
    <t>Rise of Distributed Deep Learning Training in the Big Model Era: From a Software Engineering Perspective</t>
  </si>
  <si>
    <t>10.1145/3597204</t>
  </si>
  <si>
    <t>https://doi.org/10.1145/3597204</t>
  </si>
  <si>
    <t>Deep learning (DL) has become a key component of modern software. In the “big model” era, the rich features of DL-based software (i.e., DL software) substantially rely on powerful DL models, e.g., BERT, GPT-3, and the recently emerging GPT-4, which are trained on the powerful cloud with large datasets. Hence, training effective DL models has become a vital stage in the whole software lifecycle. When training deep learning models, especially those big models, developers need to parallelize and distribute the computation and memory resources amongst multiple devices (e.g., a cluster of GPUs) in the training process, which is known as distributed deep learning training, or distributed training for short. However, the unique challenges that developers encounter in distributed training process have not been studied in the software engineering community. Given the increasingly heavy dependence of current DL-based software on distributed training, this paper aims to fill in the knowledge gap and presents the first comprehensive study on developers’ issues in distributed training. To this end, we focus on popular DL frameworks that support distributed training (including TensorFlow, PyTorch, Keras, and Horovod) and analyze 1,131 real-world developers’ issues about using these frameworks reported on Stack Overflow and GitHub. We construct a fine-grained taxonomy consisting of 30 categories regarding the fault symptoms and summarize common fix patterns for different symptoms. We find that: (1) many distributed-specific faults and non-distributed-specific faults inherently share the same fault symptoms, making it challenging to debug; (2) most of the fault symptoms have frequent fix patterns; (3) about half of the faults are related to system-level configurations. Based on the results, we suggest actionable implications on research avenues that can potentially facilitate the distributed training to develop DL-based software, such as focusing on the frequent and common fix patterns when designing testing or debugging tools, developing efficient testing and debugging techniques for communication configuration along with the synthesis of network configuration analysis, designing new multi-device checkpoint-and-replay techniques to help reproduction, and designing serverless APIs for cloud platforms.</t>
  </si>
  <si>
    <t>Gu, Rong; Wang, Shulin; Dai, Haipeng; Chen, Xiaofei; Wang, Zhaokang; Bao, Wenjie; Zheng, Jiaqi; Tu, Yaofeng; Huang, Yihua; Qi, Lianyong; Xu, Xiaolong; Dou, Wanchun; Chen, Guihai</t>
  </si>
  <si>
    <t>Fluid-Shuttle: Efficient Cloud Data Transmission Based on Serverless Computing Compression</t>
  </si>
  <si>
    <t>10.1109/TNET.2024.3402561</t>
  </si>
  <si>
    <t>https://doi.org/10.1109/TNET.2024.3402561</t>
  </si>
  <si>
    <t>Nowadays, there exists a lot of cross-region data transmission demand on the cloud. It is promising to use serverless computing for data compressing to save the total data size. However, it is challenging to estimate the data transmission time and monetary cost with serverless compression. In addition, minimizing the data transmission cost is non-trivial due to the enormous parameter space. This paper focuses on this problem and makes the following contributions: 1) We propose empirical data transmission time and monetary cost models based on serverless compression. It can also predict compression information, e.g., ratio and speed using chunk sampling and machine learning techniques. 2) For single-task cloud data transmission, we propose two efficient parameter search methods based on Sequential Quadratic Programming (SQP) and Eliminate then Divide and Conquer (EDC) with proven error upper bounds. Besides, we propose a parameter fine-tuning strategy to deal with transmission bandwidth variance. 3) Furthermore, for multi-task scenarios, a parameter search method based on dynamic programming and numerical computation is proposed. We have implemented the system called Fluid-Shuttle, which includes straggler optimization, cache optimization, and the autoscaling decompression mechanism. Finally, we evaluate the performance of Fluid-Shuttle with various workloads and applications on the real-world AWS serverless computing platform. Experimental results show that the proposed approach can improve the parameter search efficiency by over &amp;lt;inline-formula&amp;gt; &amp;lt;tex-math notation="LaTeX"&amp;gt;3times &amp;lt;/tex-math&amp;gt;&amp;lt;/inline-formula&amp;gt; compared with the state-of-art methods and achieves better parameter quality. In addition, our approach achieves higher time efficiency and lower monetary cost compared with competing cloud data transmission approaches.</t>
  </si>
  <si>
    <t>2024-10</t>
  </si>
  <si>
    <t>Su, Yongye; Sun, Yinqi; Zhang, Minjia; Wang, Jianguo</t>
  </si>
  <si>
    <t>Vexless: A Serverless Vector Data Management System Using Cloud Functions</t>
  </si>
  <si>
    <t>10.1145/3654990</t>
  </si>
  <si>
    <t>https://doi.org/10.1145/3654990</t>
  </si>
  <si>
    <t>Cloud functions, exemplified by AWS Lambda and Azure Functions, are emerging as a new computing paradigm in the cloud. They provide elastic, serverless, and low-cost cloud computing, making them highly suitable for bursty and sparse workloads, which are quite common in practice. Thus, there is a new trend in designing data systems that leverage cloud functions. In this paper, we focus on vector databases, which have recently gained significant attention partly due to large language models. In particular, we investigate how to use cloud functions to build high-performance and cost-efficient vector databases. This presents significant challenges in terms of how to perform sharding, how to reduce communication overhead, and how to minimize cold-start times.In this paper, we introduce Vexless, the first vector database system optimized for cloud functions. We present three optimizations to address the challenges. To perform sharding, we propose a global coordinator (orchestrator) that assigns workloads to Cloud function instances based on their available hardware resources. To overcome communication overhead, we propose the use of stateful cloud functions, eliminating the need for costly communications during synchronization. To minimize cold-start overhead, we introduce a workload-aware Cloud function lifetime management strategy. Vexless has been implemented using Azure Functions. Experimental results demonstrate that Vexless can significantly reduce costs, especially on bursty and sparse workloads, compared to cloud VM instances, while achieving similar or higher query performance and accuracy.</t>
  </si>
  <si>
    <t>2024-05</t>
  </si>
  <si>
    <t>Qi, Shixiong; Monis, Leslie; Zeng, Ziteng; Wang, Ian-Chin; Ramakrishnan, K. K.</t>
  </si>
  <si>
    <t>SPRIGHT: High-Performance eBPF-Based Event-Driven, Shared-Memory Processing for Serverless Computing</t>
  </si>
  <si>
    <t>10.1109/TNET.2024.3366561</t>
  </si>
  <si>
    <t>https://doi.org/10.1109/TNET.2024.3366561</t>
  </si>
  <si>
    <t>Serverless computing promises an efficient, low-cost compute capability in cloud environments. However, existing solutions, epitomized by open-source platforms such as Knative, include heavyweight components that undermine this goal of serverless computing. Additionally, such serverless platforms lack dataplane optimizations to achieve efficient, high-performance function chains that facilitate the popular microservices development paradigm. Their use of unnecessarily complex and duplicate capabilities for building function chains severely degrades performance. ‘Cold-start’ latency is another deterrent. We describe SPRIGHT, a lightweight, high-performance, responsive serverless framework. SPRIGHT exploits shared memory processing and dramatically improves the scalability of the dataplane by avoiding unnecessary protocol processing and serialization-deserialization overheads. SPRIGHT extensively leverages event-driven processing with the extended Berkeley Packet Filter (eBPF). We creatively use eBPF’s socket message mechanism to support shared memory processing, with overheads being strictly load-proportional. Compared to constantly-running, polling-based DPDK, SPRIGHT achieves the same dataplane performance with &amp;lt;inline-formula&amp;gt; &amp;lt;tex-math notation="LaTeX"&amp;gt;10times &amp;lt;/tex-math&amp;gt;&amp;lt;/inline-formula&amp;gt; less CPU usage under realistic workloads. Additionally, eBPF benefits SPRIGHT, by replacing heavyweight serverless components, allowing us to keep functions ‘warm’ with negligible penalty. Our preliminary experimental results show that SPRIGHT achieves an order of magnitude improvement in throughput and latency compared to Knative, while substantially reducing CPU usage, and obviates the need for ‘cold-start’.</t>
  </si>
  <si>
    <t>2024-02</t>
  </si>
  <si>
    <t>Basu Roy, Rohan; Tiwari, Devesh</t>
  </si>
  <si>
    <t>StarShip: Mitigating I/O Bottlenecks in Serverless Computing for Scientific Workflows</t>
  </si>
  <si>
    <t>10.1145/3639028</t>
  </si>
  <si>
    <t>https://doi.org/10.1145/3639028</t>
  </si>
  <si>
    <t>This work highlights the significance of I/O bottlenecks that data-intensive HPC workflows face in serverless environments - an issue that has been largely overlooked by prior works. To address this challenge, we propose a novel framework, StarShip, which effectively addresses I/O bottlenecks for HPC workflows executing in serverless environments by leveraging different storage options and multi-tier functions, co-optimizing for service time and service cost. StarShip exploits the Levenberg-Marquardt optimization method to find an effective solution in a large, complex search space. StarShip achieves significantly better performance and cost compared to competing techniques, improving service time by 45% and service cost by 37.6% on average over state-of-the-art solutions.</t>
  </si>
  <si>
    <t>Park, Joongun; Kang, Seunghyo; Lee, Sanghyeon; Kim, Taehoon; Park, Jongse; Kwon, Youngjin; Huh, Jaehyuk</t>
  </si>
  <si>
    <t>Hardware-hardened Sandbox Enclaves for Trusted Serverless Computing</t>
  </si>
  <si>
    <t>10.1145/3632954</t>
  </si>
  <si>
    <t>https://doi.org/10.1145/3632954</t>
  </si>
  <si>
    <t>In cloud-based serverless computing, an application consists of multiple functions provided by mutually distrusting parties. For secure serverless computing, the hardware-based trusted execution environment (TEE) can provide strong isolation among functions. However, not only protecting each function from the host OS and other functions, but also protecting the host system from the functions, is critical for the security of the cloud servers. Such an emerging trusted serverless computing poses new challenges: Each TEE must be isolated from the host system bi-directionally, and the system calls from it must be validated. In addition, the resource utilization of each TEE must be accountable in a mutually trusted way. However, the current TEE model cannot efficiently represent such trusted serverless applications. To overcome the lack of such hardware support, this article proposes an extended TEE model called Cloister, designed for trusted serverless computing. Cloister proposes four new key techniques. First, it extends the hardware-based memory isolation in SGX to confine a deployed function only within its TEE (enclave). Second, it proposes a trusted monitor enclave that filters and validates system calls from enclaves. Third, it provides a trusted resource accounting mechanism for enclaves that is agreeable to both service developers and cloud providers. Finally, Cloister accelerates enclave loading by redesigning its memory verification for fast function deployment. Using an emulated Intel SGX platform with the proposed extensions, this article shows that trusted serverless applications can be effectively supported with small changes in the SGX hardware.</t>
  </si>
  <si>
    <t>2024-01</t>
  </si>
  <si>
    <t>Jia, Zhipeng; Witchel, Emmett</t>
  </si>
  <si>
    <t>Boki: Towards Data Consistency and Fault Tolerance with Shared Logs in Stateful Serverless Computing</t>
  </si>
  <si>
    <t>10.1145/3653072</t>
  </si>
  <si>
    <t>https://doi.org/10.1145/3653072</t>
  </si>
  <si>
    <t>Bokiis a new serverless runtime that exports a shared log API to serverless functions. Boki shared logs enable stateful serverless applications to manage their state with durability, consistency, and fault tolerance. Boki shared logs achieve high throughput and low latency. The key enabler is the metalog, a novel mechanism that allows Boki to address ordering, consistency and fault tolerance independently. The metalog orders shared log records with high throughput and it provides read consistency while allowing service providers to optimize the write and read path of the shared log in different ways. To demonstrate the value of shared logs for stateful serverless applications, we build Boki support libraries that implement fault-tolerant workflows, durable object storage, and message queues. Our evaluation shows that shared logs can speed up important serverless workloads by up to 4.2×.</t>
  </si>
  <si>
    <t>2024-11</t>
  </si>
  <si>
    <t>Zhang, Haoran; Mu, Shuai; Angel, Sebastian; Liu, Vincent</t>
  </si>
  <si>
    <t>CausalMesh: A Causal Cache for Stateful Serverless Computing</t>
  </si>
  <si>
    <t>10.14778/3704965.3704969</t>
  </si>
  <si>
    <t>https://doi.org/10.14778/3704965.3704969</t>
  </si>
  <si>
    <t>Stateful serverless workflows consist of multiple serverless functions that access state on a remote database. Developers sometimes add a cache layer between the serverless runtime and the database to improve I/O latency. However, in a serverless environment, functions in the same workflow may be scheduled to different nodes with different caches, which can cause non-intuitive anomalies. This paper presents CausalMesh, a novel approach to causally consistent caching in serverless computing. CausalMesh is the first cache system that supports coordination-free and abort-free read/write operations and read transactions when clients roam among multiple servers. CausalMesh also supports read-write transactional causal consistency in the presence of client roaming, but at the cost of abort-freedom. Our evaluation shows that CausalMesh has lower latency and higher throughput than existing proposals.</t>
  </si>
  <si>
    <t>2024-09</t>
  </si>
  <si>
    <t>Yu, Hanfei; Carter, Jacob; Wang, Hao; Tiwari, Devesh; Li, Jian; Park, Seung-Jong</t>
  </si>
  <si>
    <t>Nitro: Boosting Distributed Reinforcement Learning with Serverless Computing</t>
  </si>
  <si>
    <t>10.14778/3696435.3696441</t>
  </si>
  <si>
    <t>https://doi.org/10.14778/3696435.3696441</t>
  </si>
  <si>
    <t>Deep reinforcement learning (DRL) has demonstrated significant potential in various applications, including gaming AI, robotics, and system scheduling. DRL algorithms produce, sample, and learn from training data online through a trial-and-error process, demanding considerable time and computational resources. To address this, distributed DRL algorithms and paradigms have been developed to expedite training using extensive resources. Through carefully designed experiments, we are the first to observe that strategically increasing the actor-environment interactions by spawning more concurrent actors at certain training rounds within ephemeral time frames can significantly enhance training efficiency. Yet, current distributed DRL solutions, which are predominantly server-based (or serverful), fail to capitalize on these opportunities due to their long startup times, limited adaptability, and cumbersome scalability.This paper proposes Nitro, a generic training engine for distributed DRL algorithms that enforces timely and effective boosting with concurrent actors instantaneously spawned by serverless computing. With serverless functions, Nitro adjusts data sampling strategies dynamically according to the DRL training demands. Nitro seizes the opportunity of real-time boosting by accurately and swiftly detecting an empirical metric. To achieve cost efficiency, we design a heuristic actor scaling algorithm to guide Nitro for cost-aware boosting budget allocation. We integrate Nitro with state-of-the-art DRL algorithms and frameworks and evaluate them on AWS EC2 and Lambda. Experiments with Mujoco and Atari benchmarks show that Nitro improves the final rewards (i.e., training quality) by up to 6× and reduces training costs by up to 42%.</t>
  </si>
  <si>
    <t>Baresi, Luciano; Hu, Davide Yi Xian; Quattrocchi, Giovanni; Terracciano, Luca</t>
  </si>
  <si>
    <t>NEPTUNE: A Comprehensive Framework for Managing Serverless Functions at the Edge</t>
  </si>
  <si>
    <t>10.1145/3634750</t>
  </si>
  <si>
    <t>https://doi.org/10.1145/3634750</t>
  </si>
  <si>
    <t>Applications that are constrained by low-latency requirements can hardly be executed on cloud infrastructures, given the high network delay required to reach remote servers. Multi-access Edge Computing (MEC) is the reference architecture for executing applications on nodes that are located close to users (i.e., at the edge of the network). This way, the network overhead is reduced but new challenges emerge. The resources available on edge nodes are limited, workloads fluctuate since users can rapidly change location, and complex tasks are becoming widespread (e.g., machine learning inference). To address these issues, this article presents NEPTUNE, a serverless-based framework that automates the management of large-scale MEC infrastructures. In particular, NEPTUNE provides (i) the placement of serverless functions on MEC nodes according to users’ location, (ii) the resolution of resource contention scenarios by avoiding that single nodes be saturated, and (iii) the dynamic allocation of CPUs and GPUs to meet foreseen execution times. To assess NEPTUNE, we built a prototype based on K3S, an edge-dedicated version of Kubernetes, and executed a comprehensive set of experiments. Results show that NEPTUNE obtains a significant reduction in terms of response time, network overhead, and resource consumption compared with five state-of-the-art solutions.</t>
  </si>
  <si>
    <t>Yu, Geoffrey X.; Wu, Ziniu; Kossmann, Ferdi; Li, Tianyu; Markakis, Markos; Ngom, Amadou; Madden, Samuel; Kraska, Tim</t>
  </si>
  <si>
    <t>Blueprinting the Cloud: Unifying and Automatically Optimizing Cloud Data Infrastructures with BRAD</t>
  </si>
  <si>
    <t>10.14778/3681954.3682026</t>
  </si>
  <si>
    <t>https://doi.org/10.14778/3681954.3682026</t>
  </si>
  <si>
    <t>Modern organizations manage their data with a wide variety of specialized cloud database engines (e.g., Aurora, BigQuery, etc.). However, designing and managing such infrastructures is hard. Developers must consider many possible designs with non-obvious performance consequences; moreover, current software abstractions tightly couple applications to specific systems (e.g., with engine-specific clients), making it difficult to change after initial deployment. A better solution would virtualize cloud data management, allowing developers to declaratively specify their workload requirements and rely on automated solutions to design and manage the physical realization. In this paper, we present a technique called blueprint planning that achieves this vision. The key idea is to project data infrastructure design decisions into a unified design space (blueprints). We then systematically search over candidate blueprints using cost-based optimization, leveraging learned models to predict the utility of a blueprint on the workload. We use this technique to build BRAD, the first cloud data virtualization system. BRAD users issue queries to a single SQL interface that can be backed by multiple cloud database services. BRAD automatically selects the most suitable engine for each query, provisions and manages resources to minimize costs, and evolves the infrastructure to adapt to workload shifts. Our evaluation shows that BRAD meet user-defined performance targets and improve cost-savings by 1.6–13× compared to serverless auto-scaling or HTAP systems.</t>
  </si>
  <si>
    <t>2024-07</t>
  </si>
  <si>
    <t>Fan, Hua; Fu, Dachao; Wang, Xu; Zhang, Jiachi; Zuo, Chaoji; Wu, Zhengyi; Zhang, Miao; Yuan, Kang; Ni, Xizi; Huo, Guocheng; Zhou, Wenchao; Li, Feifei; Zhou, Jingren</t>
  </si>
  <si>
    <t>Towards Millions of Database Transmission Services in the Cloud</t>
  </si>
  <si>
    <t>10.14778/3685800.3685822</t>
  </si>
  <si>
    <t>https://doi.org/10.14778/3685800.3685822</t>
  </si>
  <si>
    <t>Alibaba relies on its robust database infrastructure to facilitate realtime data access and ensure business continuity despite regional disruptions. To address these operational imperatives, Alibaba developed the Data Transmission Service (DTS), which has become critical for internal applications and public cloud services alike. This paper presents a comprehensive study of the architectural innovations, resource scheduling mechanisms, and performance optimization strategies that have been implemented within DTS to tackle the significant challenges of cross-network, heterogeneous data transmission in a cost-effective manner. We explore the novel Any-to-Any (A2A) architecture, which simplifies the complexity of data paths between diverse databases and mitigates network connectivity issues, thereby significantly reducing development overhead. Additionally, we examine a dynamic network bandwidth scheduling algorithm that effectively maintains Service-Level Objectives (SLOs), complemented by a serverless mechanism that ensures efficient resource utilization. Furthermore, DTS utilizes advanced strategies such as transaction dependency tracking, hot data consolidation, and batching to enhance synchronization performance and efficiency. DTS has distilled the lessons learned from years of serving our customer base and currently supports nearly 1 million public cloud instances annually. Our evaluation results show that DTS can effectively and efficiently handle real-time data transmission in both experimental and production environments.</t>
  </si>
  <si>
    <t>2024-08</t>
  </si>
  <si>
    <t>Anselmi, Jonatha</t>
  </si>
  <si>
    <t>Asynchronous Load Balancing and Auto-Scaling: Mean-Field Limit and Optimal Design</t>
  </si>
  <si>
    <t>10.1109/TNET.2024.3368130</t>
  </si>
  <si>
    <t>https://doi.org/10.1109/TNET.2024.3368130</t>
  </si>
  <si>
    <t>We develop a Markovian framework for load balancing that combines classical algorithms such as Power-of-&amp;lt;inline-formula&amp;gt; &amp;lt;tex-math notation="LaTeX"&amp;gt;d &amp;lt;/tex-math&amp;gt;&amp;lt;/inline-formula&amp;gt; with auto-scaling mechanisms that allow the net service capacity to scale up or down in response to the current load on the same timescale as job dynamics. Our framework is inspired by serverless platforms, such as Knative, where servers are software functions that can be flexibly instantiated in milliseconds according to scaling rules defined by the users of the serverless platform. The main question is how to design such scaling rules to minimize user-perceived delay performance while ensuring low energy consumption. For the first time, we investigate this problem when the auto-scaling and load balancing processes operate asynchronously (or proactively), as in Knative. In contrast to the synchronous (or reactive) paradigm, asynchronism brings the advantage that jobs do not necessarily need to wait any time a scale-up decision is taken. In our main result, we find a general condition on the structure of scaling rules able to drive mean-field dynamics to delay and relative energy optimality, i.e., a situation where both the user-perceived delay and the relative energy waste induced by idle servers vanish in the limit where the network demand grows to infinity in proportion to the nominal service capacity. The identified condition suggests to scale up the current net capacity if and only if the mean demand exceeds the rate at which servers become idle and active. Finally, we propose a family of scaling rules that satisfy our optimality condition. Numerical simulations demonstrate that these rules provide better delay performance than existing synchronous auto-scaling schemes while inducing almost the same power consumption.</t>
  </si>
  <si>
    <t>Bellavista, Paolo; Bicocchi, Nicola; Fogli, Mattia; Giannelli, Carlo; Mamei, Marco; Picone, Marco</t>
  </si>
  <si>
    <t>van Renen, Alexander; Horn, Dominik; Pfeil, Pascal; Vaidya, Kapil; Dong, Wenjian; Narayanaswamy, Murali; Liu, Zhengchun; Saxena, Gaurav; Kipf, Andreas; Kraska, Tim</t>
  </si>
  <si>
    <t>Why TPC is Not Enough: An Analysis of the Amazon Redshift Fleet</t>
  </si>
  <si>
    <t>10.14778/3681954.3682031</t>
  </si>
  <si>
    <t>https://doi.org/10.14778/3681954.3682031</t>
  </si>
  <si>
    <t>Database research and development is heavily influenced by benchmarks, such as the industry-standard TPC-H and TPC-DS for analytical systems. However, these twenty-year-old benchmarks neither capture how databases are deployed nor what workloads modern cloud data warehouse systems face these days.In this paper, we summarize well-known, confirm suspected, and unearth novel discrepancies between TPC-H/DS and actual workloads using empirical data. We base our analysis on telemetrics from Amazon Redshift - one of the largest cloud data warehouse deployments. Among others, we show how write-heavy data pipelines are prominent, workloads vary over time (in both load and type), queries are repetitive, and how most properties of queries or workloads experience very long tailed distributions. We conclude that data warehouse benchmarks, just like database systems, need to become more holistic and stop focusing solely on query engine performance. Finally, we publish a dataset containing query statistics of 200 randomly selected Redshift serverless and provisioned instances (each) over a three-month period, as a basis for building more realistic benchmarks.</t>
  </si>
  <si>
    <t>Paduroiu, Andrei; Wi, Sungheun; Yan, Yan; Burd, Roni; Farchtchi, Ruhollah; Fumarola, Giovanni Matteo</t>
  </si>
  <si>
    <t>Membrane - Safe and Performant Data Access Controls in Apache Spark in the Presence of Imperative Code</t>
  </si>
  <si>
    <t>10.14778/3685800.3685808</t>
  </si>
  <si>
    <t>https://doi.org/10.14778/3685800.3685808</t>
  </si>
  <si>
    <t>Data Governance is an increasingly critical feature of modern cloud database systems, enabling administrators to set granular access policies on their data. AWS customers want to define row or column filtering on their blob storage data and access it using popular tools such as Apache Spark. AWS EMR provides a managed and serverless solution that lets users run Spark jobs in the AWS cloud with imperative and declarative programming against their data, while securely enforcing the fine-grained access controls defined on those datasets. Spark runs its compiler and scheduler alongside the user application and embeds user-defined functions in query plans, giving a threat actor direct access to its memory space. This introduces attack vectors such as information disclosure or privilege escalation during policy enforcement, in addition to well-researched threats such as SQL side channel attacks. In this paper, we present Membrane: a novel approach to secure query plans with declarative and imperative code. The innovation comes from splitting the Spark driver in two in order to rewrite query plans with security boundaries while avoiding traditional tradeoffs when using container isolation techniques. The approach described herein enables applying fine grained data access controls to both SQL and map-reduce Spark jobs, with negligible performance and cost differences.</t>
  </si>
  <si>
    <t>Wen, Jinfeng; Chen, Zhenpeng; Zhao, Jianshu; Sarro, Federica; Ping, Haodi; Zhang, Ying; Wang, Shangguang; Liu, Xuanzhe</t>
  </si>
  <si>
    <t>SCOPE: Performance Testing for Serverless Computing</t>
  </si>
  <si>
    <t>10.1145/3717609</t>
  </si>
  <si>
    <t>https://doi.org/10.1145/3717609</t>
  </si>
  <si>
    <t>Serverless computing is a popular cloud computing paradigm that has found widespread adoption across various online workloads. It allows software engineers to develop cloud applications as a set of functions (called serverless functions). However, accurately measuring the performance (i.e., end-to-end response latency) of serverless functions is challenging due to the highly dynamic nature of the environment in which they run. To tackle this problem, a potential solution is to apply checks of performance testing techniques to determine how many repetitions of a given serverless function across a range of inputs are needed to cater to the performance fluctuation. However, the available literature lacks performance testing approaches designed explicitly for serverless computing. In this paper, we propose SCOPE, the first serverless computing-oriented performance testing approach. SCOPE takes into account the unique performance characteristics of serverless functions, such as their short execution durations and on-demand triggering. As such, SCOPE is designed as a fine-grained analysis approach. SCOPE incorporates the accuracy check and the consistency check to obtain the accurate and reliable performance of serverless functions. The evaluation shows that SCOPE provides testing results with 97.25% accuracy, 33.83 percentage points higher than the best currently available technique. Moreover, the superiority of SCOPE over the state-of-the-art holds on all functions that we study.</t>
  </si>
  <si>
    <t>2025-02</t>
  </si>
  <si>
    <t>Poojara, Shivananda; Jakovits, Pelle; Buyya, Rajkumar; Srirama, Satish Narayana</t>
  </si>
  <si>
    <t>Scaling Approaches for Serverless Data Pipelines in Edge and Fog Computing Environments: A Performance Evaluation</t>
  </si>
  <si>
    <t>10.1145/3747186</t>
  </si>
  <si>
    <t>https://doi.org/10.1145/3747186</t>
  </si>
  <si>
    <t>The rise of Internet of Things (IoT) applications has led to massive data generation. However, dealing with such massive data is challenging. Nowadays, data pipelines are popular mechanisms used to properly deal with data operations at scale in the IoT continuum. Serverless data pipelines (SDP) are one such approach to performing event-driven data analysis on data streams. Data pipelines are composed of many components, and scaling the entire pipeline without leaving any bottlenecks is challenging. This study aims to assess the performance of scaling mechanisms in handling stochastic workloads efficiently and understanding critical resource utilization in fog environments. We applied workload-based techniques (Request per Second, Queue Length, Message Rate) and resource-based scaling (CPU) on SDP components of two IoT applications: Aeneas (long-running functions) and PuhatuMonitoring (short-running functions). Using Azure serverless workload patterns, we compared scaling approaches in real-time fog environments, evaluating QoS metrics like processing time and CPU utilization. Our analysis of suitability, using the weighted average scoring method on two QoS metrics, revealed that for compute-intensive tasks, the resource-based scaling approach works effectively for jump, steady, spike, and fluctuation workloads. For short execution time tasks, workload-based scaling suits all four workloads.</t>
  </si>
  <si>
    <t>2025-07</t>
  </si>
  <si>
    <t>Wen, Jinfeng; Chen, Zhenpeng; Zhu, Zixi; Sarro, Federica; Liu, Yi; Ping, Haodi; Wang, Shangguang</t>
  </si>
  <si>
    <t>LLM-Based Misconfiguration Detection for AWS Serverless Computing</t>
  </si>
  <si>
    <t>10.1145/3745766</t>
  </si>
  <si>
    <t>https://doi.org/10.1145/3745766</t>
  </si>
  <si>
    <t>Serverless computing is a popular cloud computing paradigm that enables developers to build applications at the function level, known as serverless applications. The Serverless Application Model (AWS SAM) is the most widely adopted configuration schema. However, misconfigurations pose a significant challenge due to the complexity of serverless configurations and the limitations of traditional data-driven techniques. Recent advancements in Large Language Models (LLMs), pre-trained on large-scale public data, offer promising potential for identifying and explaining misconfigurations. In this paper, we present SlsDetector, the first framework that harnesses the capabilities of LLMs to perform static misconfiguration detection in serverless applications. SlsDetector utilizes effective prompt engineering with zero-shot prompting to identify configuration issues. It designs multi-dimensional constraints aligned with serverless configuration characteristics and leverages the Chain of Thought technique to enhance LLM inferences, alongside generating structured responses. We evaluate SlsDetector on a curated dataset of 110 configuration files, which includes correct configurations, real-world misconfigurations, and intentionally injected errors. Our results show that SlsDetector, based on ChatGPT-4o (one of the most representative LLMs), achieves a precision of 72.88%, recall of 88.18%, and F1-score of 79.75%, outperforming state-of-the-art data-driven methods by 53.82, 17.40, and 49.72 percentage points, respectively. We further investigate the generalization capability of SlsDetector across recent LLMs, including Llama 3.1 (405B) Instruct Turbo, Gemini 1.5 Pro, and DeepSeek V3, with consistently high effectiveness.</t>
  </si>
  <si>
    <t>2025-06</t>
  </si>
  <si>
    <t>Zhao, Han; Cui, Weihao; Chen, Quan; Li, Zijun; Han, Zhenhua; Wang, Nan; Feng, Yu; Zhao, Jieru; Chen, Chen; Leng, Jingwen; Guo, Minyi</t>
  </si>
  <si>
    <t>EDAS: Enabling Fast Data Loading for GPU Serverless Computing</t>
  </si>
  <si>
    <t>10.1145/3743137</t>
  </si>
  <si>
    <t>https://doi.org/10.1145/3743137</t>
  </si>
  <si>
    <t>Integrating GPUs into serverless computing platforms is crucial for improving efficiency. Many GPU functions, such as DNN inferences and scientific services, benefit from GPU usage, which requires only tens to hundreds of milliseconds for pure computation. Under these circumstances, fast data loading is imperative for function performance. However, existing GPU serverless systems face significant data stall issues, leading to extremely low GPU efficiency. Faced with the above problems, we observe opportunities to optimize data loading, such as data preloading and deduplicated data loading. However, these optimizations are impossible in existing GPU serverless systems due to the lack of insights into data information, such as data sizes and read-write attributes of function inputs. To address this, we propose a novel GPU serverless system, EDAS. EDAS first enhances user request specifications, allowing users to annotate data retrieved by GPU functions from the database with additional attributes. Based on this, EDAS takes over data loading from GPU functions and proposes two innovative data loading management schemes: a parallelized data loading scheme and a multi-stage resource exit scheme. Our experimental results show that EDAS reduces function duration by 16.2 × and improves system throughput by 1.91 × compared to the state-of-the-art serverless platform.</t>
  </si>
  <si>
    <t>Qi, Sheng; Feng, Haoyu; Liu, Xuanzhe; Jin, Xin</t>
  </si>
  <si>
    <t>Efficient Fault Tolerance for Stateful Serverless Computing with Asymmetric Logging</t>
  </si>
  <si>
    <t>10.1145/3725985</t>
  </si>
  <si>
    <t>https://doi.org/10.1145/3725985</t>
  </si>
  <si>
    <t>Serverless computing separates function execution from state management. Simple retry-based fault tolerance might corrupt the shared state with duplicate updates. Existing solutions employ log-based fault tolerance to achieve exactly-once semantics, where every single read or write to the external state is associated with a log for deterministic replay. However, logging is not a free lunch, which introduces considerable overhead to stateful serverless applications.We present Halfmoon, a serverless runtime system for fault-tolerant stateful serverless computing. Our key insight is that it is unnecessary to symmetrically log both reads and writes. Instead, it suffices to log either reads or writes, i.e., asymmetrically. We design two logging protocols that enforce exactly-once semantics while providing log-free reads and writes, which are suitable for read- and write-intensive workloads, respectively. We theoretically prove that the two protocols are log-optimal, i.e., no other protocols can achieve lower logging overhead than our protocols. We provide a criterion for choosing the right protocol for a given workload, and a pauseless switching mechanism to switch protocols for dynamic workloads. We implement a prototype of Halfmoon. Experiments show that Halfmoon achieves 20%–40% lower latency and 1.5–4.0× lower logging overhead than the state-of-the-art solution Boki.</t>
  </si>
  <si>
    <t>Duan, Jiaang; Qian, Shiyou; Hu, Hanwen; Yang, Dingyu; Cao, Jian; Xue, Guangtao</t>
  </si>
  <si>
    <t>PipeCo: Pipelining Cold Start of Deep Learning Inference Services on Serverless Platforms</t>
  </si>
  <si>
    <t>10.1145/3727125</t>
  </si>
  <si>
    <t>https://doi.org/10.1145/3727125</t>
  </si>
  <si>
    <t>The fusion of serverless computing and deep learning (DL) has led to serverless inference, offering a promising approach for developing and deploying scalable and cost-efficient deep learning inference services (DLISs). However, the challenge of cold start presents a significant obstacle for DLISs, where DL model size greatly impacts latency. Existing studies mitigate cold starts by extending keep-alive times, which unfortunately leads to decreased resource utilization efficiency. To address this issue, we introduce PipeCo, a system designed to alleviate DLIS cold start. The core concept of PipeCo is to achieve the miniaturization and pipelining of DLIS cold start. Firstly, PipeCo utilizes a vertical partitioning approach to divide each DLIS into multiple slices, prewarming slices in a sequential and overlapping manner to decrease the overall cold-start latency. Secondly, PipeCo employs an attention-based prediction mechanism to estimate periodic patterns in requests and idle containers for scheduling slices. Thirdly, PipeCo incorporates a similarity-based container matcher for the reuse of idle containers. We implemented a prototype of PipeCo on the OpenFaaS platform and conducted extensive experiments using three real-world DLIS repositories. The results demonstrate that PipeCo effectively decreases end-to-end (E2E) latency by up to 62.67% on CPU and 58.81% on GPU clusters and reduces the overall resource usage by 65.31% compared to five state-of-the-art baselines.</t>
  </si>
  <si>
    <t>Wu, Chenggang; Jia, Xingguo; Yu, Boshi; Wang, Xiaoran; Wang, Yun; Kaicheng, Guo; Qi, Zhengwei; Guan, Haibing</t>
  </si>
  <si>
    <t>Capability-Based Efficient Data Transmission Mechanism for Serverless Computing</t>
  </si>
  <si>
    <t>10.1145/3730583</t>
  </si>
  <si>
    <t>https://doi.org/10.1145/3730583</t>
  </si>
  <si>
    <t>Serverless computing has gained widespread popularity due to its rapid deployment, elastic scaling, and pay-as-you-go advantages. Large-scale pipeline applications designed for big data processing, video analytics, and machine learning are gradually evolving toward the serverless architecture. However, the inefficiency of large data transmission among functions has limited the further adoption of the serverless paradigm in these applications. With the emergence of capability Instruction Set Architecture (ISA), the multi-tenant security isolation model and data transmission methods in the cloud have ushered in new opportunities. This paper proposes Hummer, an efficient communication and data transmission scheme based on the capability ISA. The capability ISA allows multiple functions to run in separate isolation domains in a single address space. Function instances can efficiently share memory by directly passing hardware capabilities. This paper extends the CHERI capability ISA, introducing the novel shared capability and shared capability store tracking (SCST) mechanism to manage the shared memory access rights, enabling a zero-copy communication mechanism. We compare Hummer with existing communication mechanisms and show that it improves data transmission rate by 6 – 40 ×. Redis implemented with Hummer APIs doubles its throughput.</t>
  </si>
  <si>
    <t>Hui, Xinning; Xu, Yuanchao; Shen, Xipeng</t>
  </si>
  <si>
    <t>Exploring Function Granularity for Serverless Machine Learning Application with GPU Sharing</t>
  </si>
  <si>
    <t>10.1145/3711699</t>
  </si>
  <si>
    <t>https://doi.org/10.1145/3711699</t>
  </si>
  <si>
    <t>Recent years have witnessed increasing interest in machine learning (ML) inferences on serverless computing due to its auto-scaling and cost-effective properties. However, one critical aspect, function granularity, has been largely overlooked, limiting the potential of serverless ML. This paper explores the impact of function granularity on serverless ML, revealing its important effects on the SLO hit rates and resource costs of serverless applications. It further proposes adaptive granularity as an approach to addressing the phenomenon that no single granularity fits all applications and situations. It explores three predictive models and presents programming tools and runtime extensions to facilitate the integration of adaptive granularity into existing serverless platforms. Experiments show adaptive granularity produces up to a 29.2% improvement in SLO hit rates and up to a 24.6% reduction in resource costs over the state-of-the-art serverless ML which uses fixed granularity.</t>
  </si>
  <si>
    <t>2025-03</t>
  </si>
  <si>
    <t>Wei, Xingda; Lu, Fangming; Huang, Zhuobin; Chen, Rong; Wu, Mingyu; Chen, Haibo</t>
  </si>
  <si>
    <t>Towards Serialization/Deserialization-free State Transfer in Serverless Workflows</t>
  </si>
  <si>
    <t>10.1145/3725986</t>
  </si>
  <si>
    <t>https://doi.org/10.1145/3725986</t>
  </si>
  <si>
    <t>Serialization and deserialization dominate the state transfer time of serverless workflows, leading to substantial performance penalties when executing various serverless workflow applications. We identify the key reason for serialization and deserialization as a lack of ability to efficiently access the (remote) memory of another function. To this end, we propose RMMap, an OS primitive for remote memory map, which allows a serverless function to directly access the memory of another function, even if it is located remotely. RMMap is the first to completely eliminate serialization and deserialization overhead when transferring states between any pairs of functions in (unmodified) serverless workflows. To make remote memory map efficient and feasible, we co-design it with modern networking (RDMA), OS, language runtime, and serverless platform. Evaluations using real-world serverless workloads show that integrating RMMap with Knative reduces the serverless workflow execution time on Knative by up to 2.6&amp;nbsp; × and improves resource utilizations by 86.3%.</t>
  </si>
  <si>
    <t>2025-04</t>
  </si>
  <si>
    <t>ACM J. Auton. Transport. Syst.</t>
  </si>
  <si>
    <t>Li, Jiayu; Samrith, Putthida; Jin, Yin; Zhong, Deyang; Hu, Juhua; Cheng, Wei</t>
  </si>
  <si>
    <t>Curbside Parking Regulation Digitization and Inventory Management System</t>
  </si>
  <si>
    <t>10.1145/3733240</t>
  </si>
  <si>
    <t>https://doi.org/10.1145/3733240</t>
  </si>
  <si>
    <t>Understanding curbside parking rules is crucial for drivers to quickly find legal curbside parking. Traditional data providers rely on manual methods to collect information about curbside parking signs, either by individually noting down sign details or downloading street-level imagery from digital maps. However, this process is slow and inadequate for building an accurate and up-to-date curbside parking rule database, considering the frequent updates to parking signs. In this paper, we propose a novel deep-learning-based Inventory Management System (IMS) that automates to create and manage the curbside parking rule database using videos captured by off-the-shelf dashcams installed on vehicles. To the best of our knowledge, our system is the first of its kind to detect and interpret real-world curbside parking signs from videos and generate parking rules. By utilizing a serverless cloud architecture on AWS, IMS combines secure data retrieval, robust user authentication, and responsive map-based visualization, providing users with up-to-date parking information filtered by location, date, and time. Through real-world evaluations, we demonstrate that our system efficiently constructs an accurate curbside parking rule database enhancing urban mobility through efficient and informed parking management.</t>
  </si>
  <si>
    <t>Wang, Xiangwei; Hui, Xinning; Liao, Chunhua; Shen, Xipeng</t>
  </si>
  <si>
    <t>Reductive Analysis with Compiler-Guided Large Language Models for Input-Centric Code Optimizations</t>
  </si>
  <si>
    <t>10.1145/3729282</t>
  </si>
  <si>
    <t>https://doi.org/10.1145/3729282</t>
  </si>
  <si>
    <t>Input-centric program optimization aims to optimize code by considering the relations between program inputs and program behaviors. Despite its promise, a long-standing barrier for its adoption is the difficulty of automatically identifying critical features of complex inputs. This paper introduces a novel technique, reductive analysis through compiler-guided Large Language Models (LLMs), to solve the problem through a synergy between compilers and LLMs. It uses a reductive approach to overcome the scalability and other limitations of LLMs in program code analysis. The solution, for the first time, automates the identification of critical input features without heavy instrumentation or profiling, cutting the time needed for input identification by 44× (or 450× for local LLMs), reduced from 9.6 hours to 13 minutes (with remote LLMs) or 77 seconds (with local LLMs) on average, making input characterization possible to be integrated into the workflow of program compilations. Optimizations on those identified input features show similar or even better results than those identified by previous profiling-based methods, leading to optimizations that yield 92.6% accuracy in selecting the appropriate adaptive OpenMP parallelization decisions, and 20–30% performance improvement of serverless computing while reducing resource usage by 50–60%.</t>
  </si>
  <si>
    <t>2025-05</t>
  </si>
  <si>
    <t>Moron, Konrad; Wallentowitz, Stefan</t>
  </si>
  <si>
    <t>Benchmarking WebAssembly for Embedded Systems</t>
  </si>
  <si>
    <t>10.1145/3736169</t>
  </si>
  <si>
    <t>https://doi.org/10.1145/3736169</t>
  </si>
  <si>
    <t>WebAssembly is a modern, low-level virtual machine with designed for improved application performance in web browsers. Recently, WebAssembly gained interest for its use outside the web, for example as a replacement for serverless container runtimes. A number of non-web WebAssembly implementations are actively supported, some of which target microcontrollers, IoT devices, and embedded systems. Such hardware platforms have strict resource constraints which may render the usage of WebAssembly impossible or too costly, for example due to its performance overhead and memory requirements. However, it is currently unclear what performance to expect of WebAssembly on low-resource microcontrollers compared to machine code and alternative application virtual machines. To answer this question, we evaluated the processing overhead and memory characteristics of WebAssembly application virtual machines on microcontrollers, and compare it to native execution, and the established application virtual machines: MicroPython and Lua. Furthermore, we analyzed the feature-set and architecture of the WebAssembly implementations in more detail, and measured the performance impact different runtime features have. We found that WebAssembly, despite its high extensibility and versatility in supported source languages, application paradigms, and target hardware, delivers very competitive performance. We conclude that WebAssembly can find wider industry usage for embedded systems and could replace other more costly or less flexible virtualization techniques, such as Java.</t>
  </si>
  <si>
    <t>Sun, Tong; Jiang, Bowen; Li, Borui; Lv, Jiamei; Gao, Yi; Dong, Wei</t>
  </si>
  <si>
    <t>Exploiting Multiple Similarity Spaces for Deduplication of Encrypted Container Images</t>
  </si>
  <si>
    <t>10.1145/3725220</t>
  </si>
  <si>
    <t>https://doi.org/10.1145/3725220</t>
  </si>
  <si>
    <t>The growing popularity of encrypted container images in registries poses unique challenges for storage management due to the necessity for deduplication amidst rising image volumes. Traditional deduplication struggles with encrypted content, which inherently disguises duplicate data as distinct due to its randomized nature. Current advanced methods tackle this issue by decompressing images and applying message-locked encryption (MLE). However, these techniques face considerable challenges. Minor content changes can impair deduplication effectiveness, and decompressing layers increases storage requirements. Furthermore, this process negatively impacts both the speed at which users access the images and the overall system throughput. We propose SimEnc, a high-performance and secure deduplication system for encrypted container images by exploiting multiple similarity spaces. SimEnc&amp;nbsp;pioneers the integration of semantic hashing with MLE to effectively parse semantic relationships across layers, thereby increasing deduplication efficacy. This system incorporates a rapid selection mechanism for similarity spaces, offering enhanced flexibility over previous models that relied on full decompression. By adopting Huffman decoding to navigate new similarity spaces, SimEnc&amp;nbsp;not only improves deduplication ratios but also enhances overall performance. Our experimental results demonstrate that SimEnc&amp;nbsp;substantially reduces storage needs by up to 261.7% compared to encrypted serverless platforms and by 54.2% against plaintext registries, while also delivering superior pull latency metrics.</t>
  </si>
  <si>
    <t>Document Identifier</t>
  </si>
  <si>
    <t>Document Title</t>
  </si>
  <si>
    <t>Authors</t>
  </si>
  <si>
    <t>Date Added To Xplore</t>
  </si>
  <si>
    <t>Abstract</t>
  </si>
  <si>
    <t>Funding Information</t>
  </si>
  <si>
    <t>Author Keywords</t>
  </si>
  <si>
    <t>IEEE Terms</t>
  </si>
  <si>
    <t>Reference Count</t>
  </si>
  <si>
    <t>License</t>
  </si>
  <si>
    <t>Online Date</t>
  </si>
  <si>
    <t>IEEE Journals</t>
  </si>
  <si>
    <t>IEEE Transactions on Quantum Engineering</t>
  </si>
  <si>
    <t>Modeling and Performance Evaluation of Hybrid Classicalâ€“Quantum Serverless Computing Platforms</t>
  </si>
  <si>
    <t>C. Cicconetti</t>
  </si>
  <si>
    <t>While quantum computing technologies are evolving toward achieving full maturity, hybrid algorithms, such as variational quantum computing, are already emerging as valid candidates to solve practical problems in fields, such as chemistry and operations research. This situation calls for a tighter and better integration of classical and quantum computing infrastructures to improve efficiency and users' quality of service. Inspired by recent developments in cloud technologies, serverless computing has recently been considered a promising solution for this purpose by both industry and research. In this work, we define a system model for a hybrid classicalâ€“quantum serverless system, with an associated open-source numerical simulator that can be driven by production traces and stochastic workload models. We therefore describe how we produced a public dataset using IBM Qiskit in a local and remote infrastructure, with a sample application on optimization. The simulation results show initial insights on some distinguishing features of the platform simulated, measured in terms of user and system metrics, for jobs with heterogeneous problem sizes and priorities. We also report a few lessons we learned from developing the application with IBM Qiskit serverless and running it on IBM Quantum backends.</t>
  </si>
  <si>
    <t>2689-1808</t>
  </si>
  <si>
    <t>10.1109/TQE.2025.3567322</t>
  </si>
  <si>
    <t xml:space="preserve">European Union â€“ Next Generation EU; National Recovery and Resilience Plan(grant numbers:CUP B93C22000620006); National Center for HPC; Big Data and Quantum Computing â€œICSCâ€(grant numbers:CN00000013); European High-Performance Computing Joint Undertaking(grant numbers:101018180 HPCQS); </t>
  </si>
  <si>
    <t>High-performance computing (HPC);hybrid computing;quantum approximate optimization algorithm (QAOA);quantum computing;quantum optimization;serverless computing;variational quantum computing;variational quantum eigensolver (VQE)</t>
  </si>
  <si>
    <t>Quantum computing;Optimization;Serverless computing;Containers;Computational modeling;Quantum circuit;Delays;Numerical models;Mathematical models;Logic gates</t>
  </si>
  <si>
    <t>CCBY</t>
  </si>
  <si>
    <t>IEEE Transactions on Cloud Computing</t>
  </si>
  <si>
    <t>Performance Modeling of Metric-Based Serverless Computing Platforms</t>
  </si>
  <si>
    <t>N. Mahmoudi; H. Khazaei</t>
  </si>
  <si>
    <t>Analytical performance models are very effective in ensuring the quality of service and cost of service deployment remain desirable under different conditions and workloads. While various analytical performance models have been proposed for previous paradigms in cloud computing, serverless computing lacks such models that can provide developers with performance guarantees. Besides, most serverless computing platforms still require developersâ€™ input to specify the configuration for their deployment that could affect both the performance and cost of their deployment, without providing them with any direct and immediate feedback. In previous studies, we built such performance models for steady-state and transient analysis of scale-per-request serverless computing platforms (e.g., AWS Lambda, Azure Functions, Google Cloud Functions) that could give developers immediate feedback about the quality of service and cost of their deployments. In this work, we aim to develop analytical performance models for latest trend in serverless computing platforms that use concurrency value and the rate of requests per second for autoscaling decisions. Examples of such serverless computing platforms are Knative and Google Cloud Run (a managed Knative service by Google). The proposed performance model can help developers and providers predict the performance and cost of deployments with different configurations which could help them tune the configuration toward the best outcome. We validate the applicability and accuracy of the proposed performance model by extensive real-world experimentation on Knative and show that our performance model is able to accurately predict the steady-state characteristics of a given workload with minimal amount of data collection.</t>
  </si>
  <si>
    <t>2168-7161</t>
  </si>
  <si>
    <t>10.1109/TCC.2022.3169619</t>
  </si>
  <si>
    <t xml:space="preserve">Shared Hierarchical Academic Research Computing Network; Compute Canada; </t>
  </si>
  <si>
    <t>Google cloud run;knative;metric-based autoscaling;optimization;performance modelling;serverless computing;stochastic processes</t>
  </si>
  <si>
    <t>Measurement;Computational modeling;Serverless computing;Concurrent computing;Monitoring;Containers;Analytical models</t>
  </si>
  <si>
    <t>IEEE</t>
  </si>
  <si>
    <t>Performance Modeling of Serverless Computing Platforms</t>
  </si>
  <si>
    <t>Analytical performance models have been leveraged extensively to analyze and improve the performance and cost of various cloud computing services. However, in the case of serverless computing, which is projected to be the dominant form of cloud computing in the future, we have not seen analytical performance models to help with the analysis and optimization of such platforms. In this work, we propose an analytical performance model that captures the unique details of serverless computing platforms. The model can be leveraged to improve the quality of service and resource utilization and reduce the operational cost of serverless platforms. Also, the proposed performance model provides a framework that enables serverless platforms to become workload-aware and operate differently for different workloads to provide a better trade-off between the cost and performance depending on the user's preferences. The current serverless offerings require the user to have extensive knowledge of the internals of the platform to perform efficient deployments. Using the proposed analytical model, the provider can simplify the deployment process by calculating the performance metrics for users even before physical deployments. We validate the applicability and accuracy of the proposed model by extensive experimentation on AWS Lambda. We show that the proposed model can calculate essential performance metrics such as average response time, probability of cold start, and the average number of function instances in the steady-state. Also, we show how the performance model can be used to tune the serverless platform for each workload, which will result in better performance or lower cost without scarifying the other. The presented model assumes no non-realistic restrictions, so that it offers a high degree of fidelity while maintaining tractability at large scale.</t>
  </si>
  <si>
    <t>10.1109/TCC.2020.3033373</t>
  </si>
  <si>
    <t xml:space="preserve">Shared Hierarchical Academic Research Computing Network; </t>
  </si>
  <si>
    <t>Serverless computing;performance modeling;optimization;queuing theory;stochastic processes</t>
  </si>
  <si>
    <t>Computational modeling;Analytical models;Cloud computing;Concurrent computing;Measurement;Servers;Quality of service</t>
  </si>
  <si>
    <t>IEEE Transactions on Sustainable Computing</t>
  </si>
  <si>
    <t>Sustainable Serverless Computing With Cold-Start Optimization and Automatic Workflow Resource Scheduling</t>
  </si>
  <si>
    <t>S. Pan; H. Zhao; Z. Cai; D. Li; R. Ma; H. Guan</t>
  </si>
  <si>
    <t>In recent years, serverless computing has garnered significant attention owing to its high scalability, pay-as-you-go billing model, and efficient resource management provided by cloud service providers. Optimal resource scheduling of serverless computing has become imperative to reduce energy consumption and enable sustainable computing. However, existing serverless platforms encounter two significant challenges: the cold-start problem of containers and the absence of an effective resource allocation strategy for serverless workflows. Existing pre-warm strategies are associated with high computational overhead, while current resource scheduling techniques inadequately account for the intricate structure of serverless workflows. To address these challenges, we present SSC, a pre-warming and automatic resource allocation framework designed explicitly for serverless workflows. We introduce an innovative gradient-based algorithm for pre-warming containers, significantly reducing cold start hit rates. Moreover, leveraging a critical path and priority queue-based algorithm, SSC enables efficient allocation of resources for serverless workflows. In our experimental evaluation, SSC reduces the cold start hit rate by nearly 50% and achieves substantial cost savings of approximately 30%.</t>
  </si>
  <si>
    <t>2377-3782</t>
  </si>
  <si>
    <t xml:space="preserve">Shanghai Key Laboratory of Scalable Computing and Systems; China Institute of IoT(grant numbers:2022SP-T13-C); Industry-university-research Cooperation Funding; Eighth Research Institute in China Aerospace Science and Technology Corporation(grant numbers:USCAST2022-17); </t>
  </si>
  <si>
    <t>Cold start;resource scheduling;serverless computing;serverless workflow</t>
  </si>
  <si>
    <t>Containers;Optimization;Serverless computing;Processor scheduling;Costs;Computational modeling;Source coding</t>
  </si>
  <si>
    <t>IEEE Transactions on Parallel and Distributed Systems</t>
  </si>
  <si>
    <t>Modeling and Optimization of Performance and Cost of Serverless Applications</t>
  </si>
  <si>
    <t>C. Lin; H. Khazaei</t>
  </si>
  <si>
    <t>Function-as-a-Service (FaaS) and serverless applications have proliferated significantly in recent years because of their high scalability, ease of resource management, and pay-as-you-go pricing model. However, cloud users are facing practical problems when they migrate their applications to the serverless pattern, which are the lack of analytical performance and billing model and the trade-off between limited budget and the desired quality of service of serverless applications. In this article, we fill this gap by proposing and answering two research questions regarding the prediction and optimization of performance and cost of serverless applications. We propose a new construct to formally define a serverless application workflow, and then implement analytical models to predict the average end-to-end response time and the cost of the workflow. Consequently, we propose a heuristic algorithm named Probability Refined Critical Path Greedy algorithm (PRCP) with four greedy strategies to answer two fundamental optimization questions regarding the performance and the cost. We extensively evaluate the proposed models by conducting experimentation on AWS Lambda and Step Functions. Our analytical models can predict the performance and cost of serverless applications with more than 98 percent accuracy. The PRCP algorithms can achieve the optimal configurations of serverless applications with 97 percent accuracy on average.</t>
  </si>
  <si>
    <t>1558-2183</t>
  </si>
  <si>
    <t>10.1109/TPDS.2020.3028841</t>
  </si>
  <si>
    <t>Cloud serverless computing;performance modeling;performance optimization;cost modeling;cost optimization</t>
  </si>
  <si>
    <t>FAA;Cloud computing;Optimization;Time factors;Analytical models;Computational modeling</t>
  </si>
  <si>
    <t>IEEE Transactions on Mobile Computing</t>
  </si>
  <si>
    <t>Making Serverless Not So Cold in Edge Clouds: A Cost-Effective Online Approach</t>
  </si>
  <si>
    <t>K. Xiao; S. Yang; F. Li; L. Zhu; X. Chen; X. Fu</t>
  </si>
  <si>
    <t>Applying the serverless paradigm to edge computing improves edge resource utilization while bringing the benefits of flexible scaling and pay-as-you-go to latency-sensitive applications. This extends the boundaries of serverless computing and improves the quality of service for Function-as-a-Service users. However, as an emerging cloud computing paradigm, serverless edge computing faces pressing challenges, with one of the biggest obstacles being delay caused by excessively long container cold starts. Cold start delay is defined as the time between when a serverless function is triggered and when it begins to execute, and its existence seriously impacts resource utilization and Quality of Service (QoS). In this article, we study how to minimize the total system cost by caching function containers and selecting routes for neighboring functions via edge or public clouds. We prove that the proposed problem is NP-hard even in the special case where the user request contains only one function, and that the unpredictability of user requests and the impact between adjacent time decisions require that the problem to be solved in an online fashion. We then design the Online Lazy Caching algorithm, an online algorithm with a worst-case competitive ratio using a randomized dependent rounding algorithm to solve the problem. Extensive simulation results show that the proposed online algorithm can achieve close-to-optimal performance in terms of both total cost and cold start cost compared to other existing algorithms, with average improvements of 31.6$\%$% and 51.7$\%$%.</t>
  </si>
  <si>
    <t>1558-0660</t>
  </si>
  <si>
    <t xml:space="preserve">National Natural Science Foundation of China(grant numbers:62172038); Beijing Natural Science Foundation(grant numbers:4232033); National Natural Science Foundation of China(grant numbers:62372045,62072040,62232002); Yunnan Provincial Major Science and Technology Special Plan Projects(grant numbers:202302AD080003); National Natural Science Foundation of China(grant numbers:U20A20159); Basic and Applied Basic Research Foundation of Guangdong Province(grant numbers:2021B151520008); Guangzhou Basic and Applied Basic Research Program(grant numbers:2024A04J6367); Horizon Europe CODECO project(grant numbers:101092696); Horizon Europe COVER project(grant numbers:101086228); </t>
  </si>
  <si>
    <t>Serverless computing;edge computing;container caching;cold start</t>
  </si>
  <si>
    <t>Cloud computing;Containers;Costs;Delays;Computational modeling;Edge computing;Serverless computing</t>
  </si>
  <si>
    <t>Taming Serverless Cold Start of Cloud Model Inference With Edge Computing</t>
  </si>
  <si>
    <t>K. Zhao; Z. Zhou; L. Jiao; S. Cai; F. Xu; X. Chen</t>
  </si>
  <si>
    <t>Serverless computing is envisioned as the de-facto standard for next-generation cloud computing. However, the cold start dilemma has impeded its adoption by delay-sensitive and burst applications. In this paper, we propose to tame serverless cold start in a cloud inference system with edge computing. Specifically, the proposed solution smooths the serverless cloud workload with user-owned edge computing, reducing the number of cold starts. Leveraging the configurability of requests and serverless functions, the proposed solution further reduces the transmission latency and serverless cost by adapting request configuration (e.g., image resolution) and function configuration (e.g., memory). To alleviate the potential inference accuracy degradation incurred by configuration adaption, we aim to strike a nice balance between inference latency, cost, and accuracy. However, achieving this goal is non-trivial since the underlying optimization is non-convex and involves future uncertain information. To simultaneously address dual challenges, the presented cold-start-aware online algorithms apply the regularization technique to decompose the problem into separate convex subproblems. Then, it applies lazy switching to smooth the number of provisioned functions and thus reduces the cold start. Through rigorous theoretical analysis, realistic prototype evaluations on AWS Lambda, and trace-driven simulations, we comprehensively validate the theoretical and empirical performance of our proposed solution.</t>
  </si>
  <si>
    <t>10.1109/TMC.2023.3348165</t>
  </si>
  <si>
    <t xml:space="preserve">National Key Research and Development (R&amp;D) Plan(grant numbers:2022YFB4500004); National Natural Science Foundation of China(grant numbers:U20A20159,61972432,62372184); Basic and Applied Basic Research Foundation of Guangdong Province(grant numbers:2021B151520008); Science and Technology Commission of Shanghai Municipality(grant numbers:22DZ2229004); National Science Foundation(grant numbers:CNS-2047719,CNS-2225949); </t>
  </si>
  <si>
    <t>Serverless computing;cold start;model inference;edge computing;online optimization</t>
  </si>
  <si>
    <t>Computational modeling;Edge computing;Serverless computing;Inference algorithms;Optimization;Costs;Adaptation models</t>
  </si>
  <si>
    <t>Fine-Grained Performance and Cost Modeling and Optimization for FaaS Applications</t>
  </si>
  <si>
    <t>C. Lin; N. Mahmoudi; C. Fan; H. Khazaei</t>
  </si>
  <si>
    <t>Function-as-a-Service (FaaS) has become a mainstream cloud computing paradigm for developers to build cloud-native applications in recent years. By taking advantage of serverless architecture, FaaS applications bring many desirable benefits, including built-in scalability, high availability, and improved cost-effectiveness. However, predictability and trade-off of performance and cost are still key pitfalls for FaaS applications due to poor infrastructure transparency and lack of performance and cost models that fit the new paradigm. In this study, we therefore fill this gap by proposing formal performance and cost modeling and optimization algorithms, which enable accurate prediction and fine-grained control over the performance and cost of FaaS applications. The proposed model and algorithms provide better predictability and trade-off of performance and cost for FaaS applications, which help developers to make informed decisions on cost reduction, performance improvement, and configuration optimization. We validate the proposed model and algorithms via extensive experiments on AWS. We show that the modeling algorithms can accurately estimate critical metrics, including response time, cost, exit status, and their distributions, regardless of the complexity and scale of the application workflow. Also, the depth-first bottleneck alleviation algorithm for trade-off analysis can effectively solve two optimization problems with fine-grained constraints.</t>
  </si>
  <si>
    <t>10.1109/TPDS.2022.3214783</t>
  </si>
  <si>
    <t>Costs;Optimization;Time factors;Firing;Analytical models;Computational modeling;Cloud computing</t>
  </si>
  <si>
    <t>IEEE Systems Journal</t>
  </si>
  <si>
    <t>Efficient and Flexible Component Placement for Serverless Computing</t>
  </si>
  <si>
    <t>S. Luo; K. Li; H. Xing; P. Fan</t>
  </si>
  <si>
    <t>Nowadays, serverless computing has been widely employed and viewed as the new paradigm of cloud computing. Technically, serverless applications are made up of function components, which are packaged as specific layered files named container images. In production, different components are designed to partially share layers, and during the deployment, the hosting servers have to download the missing layers first, which might dominate the application startup delay. In this article, we look into optimizing the deployment of serverless applications under the operational goals of energy saving and load balance, by exploring the reusability among involved container images to conduct content-aware component placements explicitly. We find that the two involved optimization problems can be formulated as multi-objective (mixed-)integer linear programs, and prove that their common building block of minimizing the weighted sum of deployment cost for a given set of serverless components is non-deterministic polynomial (NP)-hard. To be practical, we develop an efficient yet flexible heuristic solution named best fit greedy placement (BFGP), which involves three variants BFGP-Full, BFGP-ES, and BFGP-LB for the problem. Performance studies show that BFGP is effective, expressive, and efficient. It not only achieves near-optimal placement very efficiently but also supports high-level operational policies, such as energy saving and load balance.</t>
  </si>
  <si>
    <t>1937-9234</t>
  </si>
  <si>
    <t>10.1109/JSYST.2024.3381590</t>
  </si>
  <si>
    <t xml:space="preserve">National Natural Science Foundation of China(grant numbers:62002300,62202392,2023NSFSC0459,U23A20274); Network and Data Security Key Laboratory in Sichuan Province(grant numbers:NDS2022-1); </t>
  </si>
  <si>
    <t>Cloud;energy saving;load balance;serverless;service placement</t>
  </si>
  <si>
    <t>Costs;Cloud computing;Energy conservation;Serverless computing;Delays;Production</t>
  </si>
  <si>
    <t>IEEE Transactions on Services Computing</t>
  </si>
  <si>
    <t>Deep Reinforcement Learning for Scheduling Applications in Serverless and Serverful Hybrid Computing Environments</t>
  </si>
  <si>
    <t>A. Mampage; S. Karunasekera; R. Buyya</t>
  </si>
  <si>
    <t>Serverless computing has gained popularity as a novel cloud execution model for applications in recent times. Businesses constantly try to leverage this new paradigm to add value to their revenue streams. The serverless eco-system accommodates many application domains successfully. However, its inherent properties such as cold start delays and relatively high per unit charges appear as a shortcoming for certain application workloads, when compared to a traditional Virtual Machine (VM) based execution scenario. A few research works exist, that study how serverless computing could be used to mitigate the challenges in a VM based cluster environment, for certain applications. In contrast, this work proposes a generalized framework for determining which workloads are best able to reap benefits of a serverless computing environment. In essence, we present a potential hybrid scheduling solution for exploiting the benefits of both a serverless and a VM based serverful computing environment. Our proposed framework leverages the actor-critic based deep reinforcement learning architecture coupled with the proximal policy optimization technique, in determining the best scheduling decision for workload executions. Extensive experiments conducted demonstrate the effectiveness of such a solution, in terms of user cost and application performance, with improvements of up to 44% and 11% respectively.</t>
  </si>
  <si>
    <t>1939-1374</t>
  </si>
  <si>
    <t>10.1109/TSC.2024.3520864</t>
  </si>
  <si>
    <t xml:space="preserve">Australian Research Council; </t>
  </si>
  <si>
    <t>Application scheduling;function latency;reinforcement learning;serverful computing;serverless computing;user cost efficiency</t>
  </si>
  <si>
    <t>Virtual machines;Costs;Processor scheduling;Delays;Load modeling;Optimization;Monitoring;Computer architecture;Switches;Measurement</t>
  </si>
  <si>
    <t>IEEE Transactions on Automation Science and Engineering</t>
  </si>
  <si>
    <t>Qora: Neural-Enhanced Interference-Aware Resource Provisioning for Serverless Computing</t>
  </si>
  <si>
    <t>R. Ma; Y. Zhan; C. Wu; Z. Hong; Y. Ali; Y. Xia</t>
  </si>
  <si>
    <t>Serverless is an emerging cloud paradigm that offers fine-grained resource sharing through serverless functions. However, this resource sharing can cause interference, leading to performance degradation and QoS violations. Existing white box-based approaches for serverless resource provision often demand extensive expert knowledge, which is challenging to obtain due to the complexity of interference sources. This paper proposes Qora, a neural-enhanced interference-aware resource provisioning system for serverless computing. We model the resource provisioning of serverless functions as a novel combinatorial optimization problem, wherein the constraints on the queries per second are derived from neural network performance model. By leveraging neural networks to model the nonlinear performance fluctuations under various interference sources, our approach better captures the real-world behavior of serverless functions. To solve the formulated problem efficiently, rather than adopting commercial optimizer solvers like Gurobi, we propose a two-stage-VNS algorithm that searches discrete variables more efficiently and supports Sigmoid activations, avoiding introducing redundant discrete variables. Unlike pure machine learning methods lacking theoretical optimal guarantees, our approach is rigorously proven globally optimal based on optimization theory. We implement Qora on Kubernetes as a serverless system automating resource provisioning. Experimental results demonstrate that Qora reduces the QoS violation rate by 98% while reducing up to 35% resource costs compared with the state-of-the-arts. Note to Practitionersâ€”From the perspective of cloud service providers, this paper considers the automatic resource provisioning for serverless functions. To improve hardware utilization, cloud providers tend to co-locate serverless functions on the same server. However, co-located functions compete for shared resources (memory bandwidth, L3 cache, etc.), which causes interference and leads to performance degradation and QoS violations. We use neural networks to build the performance models of interference-prone serverless functions and form the resource allocation optimization problem with neural network performance models as constraints. Compared to white box modeling methods, our neural network modeling adapts to complex and variable interference. Compared to deep reinforcement learning methods, our combinatorial optimization methods have stronger interpretability. In order to solve this optimization problem efficiently, we design the two-stage-VNS solution algorithm. We implement Qora on Kubernetes as a serverless system, which can automatically allocate computing resources. Experiments with small-scale real clusters and large-scale simulations demonstrate the effectiveness of Qora.</t>
  </si>
  <si>
    <t>1558-3783</t>
  </si>
  <si>
    <t>10.1109/TASE.2025.3526197</t>
  </si>
  <si>
    <t xml:space="preserve">National Natural Science Foundation of China(grant numbers:61836001,62203049,62102022,62473047); </t>
  </si>
  <si>
    <t>Serverless computing;performance interference;resource provisioning</t>
  </si>
  <si>
    <t>Interference;Neural networks;Optimization;Computational modeling;Serverless computing;Quality of service;Bandwidth;Costs;Linux;Electronic mail</t>
  </si>
  <si>
    <t>A Deep Recurrent-Reinforcement Learning Method for Intelligent AutoScaling of Serverless Functions</t>
  </si>
  <si>
    <t>S. Agarwal; M. A. Rodriguez; R. Buyya</t>
  </si>
  <si>
    <t>Function-as-a-Service (FaaS) introduces a lightweight, function-based cloud execution model that finds its relevance in a range of applications like IoT-edge data processing and anomaly detection. While cloud service providers (CSPs) offer a near-infinite function elasticity, these applications often experience fluctuating workloads and stricter performance constraints. A typical CSP strategy is to empirically determine and adjust desired function instances or resources, known as autoscaling, based on monitoring-based thresholds such as CPU or memory, to cope with demand and performance. However, threshold configuration either requires expert knowledge, historical data or a complete view of the environment, making autoscaling a performance bottleneck that lacks an adaptable solution. Reinforcement learning (RL) algorithms are proven to be beneficial in analysing complex cloud environments and result in an adaptable policy that maximizes the expected objectives. Most realistic cloud environments usually involve operational interference and have limited visibility, making them partially observable. A general solution to tackle observability in highly dynamic settings is to integrate Recurrent units with model-free RL algorithms and model a decision process as a Partially Observable Markov Decision Process (POMDP). Therefore, in this article, we investigate model-free Recurrent RL agents for function autoscaling and compare them against the model-free Proximal Policy Optimisation (PPO) algorithm. We explore the integration of a Long-Short Term Memory (LSTM) network with the state-of-the-art PPO algorithm to find that under our experimental and evaluation settings, recurrent policies were able to capture the environment parameters and show promising results for function autoscaling. We further compare a PPO-based autoscaling agent with commercially used threshold-based function autoscaling and posit that a LSTM-based autoscaling agent is able to improve throughput by 18%, function execution by 13% and account for 8.4% more function instances.</t>
  </si>
  <si>
    <t>10.1109/TSC.2024.3387661</t>
  </si>
  <si>
    <t xml:space="preserve">ARC Discovery Project; Melbourne Scholarships; </t>
  </si>
  <si>
    <t>Serverless computing;function-as-a-service;AutoScaling;reinforcement learning;constraint-awareness</t>
  </si>
  <si>
    <t>Quality of service;Serverless computing;Heuristic algorithms;Computational modeling;Q-learning;Costs;Microservice architectures</t>
  </si>
  <si>
    <t>IEEE Access</t>
  </si>
  <si>
    <t>Design of 5G Architecture Enhancements for Supporting Serverless Computing</t>
  </si>
  <si>
    <t>M. -N. Tran; Y. Kim</t>
  </si>
  <si>
    <t>Serverless computing is a recent emerged trending technology in the 5G edge computing landscape. Serverless computingâ€™s on-demand dynamic scalability allows efficient utilization of limited available resources at the edge. To realize the benefit serverless edge computing, several solutions have been recently proposed to optimize serverless service placement, scaling and scheduling at the edge. However, lack of studies consider the involvement of 5G mobile network in orchestrating connection between requests from user equipments (UE) and serverless edge services. 5G control plane need to be aware of the serverless edge service deployment information determined by those optimized algorithms to avoid serverless service cold start problem caused by steering traffic to unoptimized edge sites. To address this issue, this study introduces enhancements to the current 5G architecture and procedures based on computing-aware traffic steering concept. We proposed a new computing-aware traffic steering controller that can manage serverless edge computing deployment information and influence 5G control plane to configure optimal routing path to serverless applications. The proposed solution allows 5G control plane to efficiently co-operate with advanced serverless deployment solutions to orchestrate serverless service serving at the 5G edge. We evaluated our solution against the normal 5G architecture and the 5G architecture enhancements for edge computing standardized by the 3rd Generation Partnership Project (3GPP). Our solution reduced the number of requests affected by cold-start from 8 to 35% and the edge resource consumption amount from 10 to 41%.</t>
  </si>
  <si>
    <t>2169-3536</t>
  </si>
  <si>
    <t>10.1109/ACCESS.2024.3490671</t>
  </si>
  <si>
    <t xml:space="preserve">nstitute of Information and Communications Technology Planning and Evaluation (IITP) funded by Korean Government (MSIT) through the Project (Development of Candidate Element Technology for Intelligent 6G Mobile Core Network)(grant numbers:2022-0-01015); Project (Development of High Available and High Performance 6G Cross Cloud Infrastructure Technology)(grant numbers:RS-2024-00398379); </t>
  </si>
  <si>
    <t>5G;serverless;mobile user plane;multi-access edge computing;edge orchestration</t>
  </si>
  <si>
    <t>5G mobile communication;Computer architecture;Edge computing;3GPP;Optimization;Measurement;Serverless computing;Time factors;Scalability;Routing</t>
  </si>
  <si>
    <t>CCBYNCND</t>
  </si>
  <si>
    <t>Multi-Objective Deep Reinforcement Learning for Function Offloading in Serverless Edge Computing</t>
  </si>
  <si>
    <t>Y. Yang; X. Du; Y. Ye; J. Ding; T. Wang; M. Chen; K. Li</t>
  </si>
  <si>
    <t>Function offloading problems play a crucial role in optimizing the performance of applications in serverless edge computing (SEC). Existing research has extensively explored function offloading strategies based on optimizing a single objective. However, a significant challenge arises when users expect to optimize multiple objectives according to the relative importance of these objectives. This challenge becomes particularly pronounced when the relative importance of the objectives dynamically shifts. Consequently, there is an urgent need for research into multi-objective function offloading methods. In this paper, we redefine the SEC function offloading problem as a dynamic multi-objective optimization issue and propose a novel approach based on Multi-objective Reinforcement Learning (MORL) called MOSEC. MOSEC can coordinately optimize three objectives, i.e., application completion time, User Device (UD) energy consumption, and user cost. To reduce the impact of extrapolation errors, MOSEC integrates a Near-on Experience Replay (NER) strategy during the model training. Furthermore, MOSEC adopts our proposed Earliest First (EF) scheme to maintain the policies learned previously, which can efficiently mitigate the catastrophic policy forgetting problem. Extensive experiments conducted on various generated applications demonstrate the superiority of MOSEC over state-of-the-art multi-objective optimization algorithms.</t>
  </si>
  <si>
    <t xml:space="preserve">National Natural Science Foundation of China(grant numbers:62272170); Shanghai Trusted Industry Internet Software Collaborative Innovation Center; </t>
  </si>
  <si>
    <t>Serverless edge computing;function offloading;multi-objective optimization;deep reinforcement learning</t>
  </si>
  <si>
    <t>Servers;Optimization;Energy consumption;Costs;Edge computing;Heuristic algorithms;Vectors;Serverless computing;Computational modeling;Wireless communication</t>
  </si>
  <si>
    <t>IEEE Internet of Things Journal</t>
  </si>
  <si>
    <t>HealthFaaS: AI-Based Smart Healthcare System for Heart Patients Using Serverless Computing</t>
  </si>
  <si>
    <t>M. Golec; S. S. Gill; A. K. Parlikad; S. Uhlig</t>
  </si>
  <si>
    <t>Heart disease is one of the leading causes of death worldwide, and with early detection, mortality rates can be reduced. Well-known studies have shown that the latest artificial intelligence (AI) can be used to determine the risk of heart disease. However, existing studies did not consider dynamic scalability to get the best performance from these AI models in case of an increasing number of users. To solve this problem, we proposed an AI-powered smart healthcare framework called HealthFaaS, using the Internet of Things (IoT) and a Serverless Computing environment to reduce heart disease-related deaths and prevent financial losses by reducing misdiagnoses. HealthFaaS framework collects health data from users via IoT devices and sends it to AI models deployed on a Google Cloud Platform (GCP)-based serverless computing environment due to its advantages, such as dynamic scalability, less operational complexity, and a pay-as-you-go pricing model. The performance of five different AI models for heart disease risk detection is evaluated and compared based on key parameters, such as accuracy, precision, recall,  $F$ -Score, and AUC. Experimental results demonstrate that the light gradient boosting machine model gives the highest success in detecting heart diseases with an accuracy rate of 91.80%. Further, we have tested the performance of the HealthFaaS framework in terms of Quality-of-Service (QoS) parameters, such as throughput and latency against the increasing number of users and compared it with a non-serverless platform. In addition, we have also evaluated the cold start latency using a serverless platform which determined that the amount of memory and the software language makes a direct impact on the cold start latency.</t>
  </si>
  <si>
    <t>2327-4662</t>
  </si>
  <si>
    <t xml:space="preserve">Ministry of Education, Turkey; </t>
  </si>
  <si>
    <t>Artificial intelligence (AI);heart disease;Internet of Things (IoT);machine learning (ML);serverless computing;smart healthcare</t>
  </si>
  <si>
    <t>Diseases;Heart;Internet of Things;Computational modeling;Serverless computing;Scalability;Data models</t>
  </si>
  <si>
    <t>IEEE Transactions on Computers</t>
  </si>
  <si>
    <t>Mobility-Aware Utility Maximization in Digital Twin-Enabled Serverless Edge Computing</t>
  </si>
  <si>
    <t>J. Li; S. Guo; W. Liang; J. Wang; Q. Chen; W. Xu; K. Wei; X. Jia</t>
  </si>
  <si>
    <t>Driven by data and models, the digital twin technique presents a new concept of optimizing system design, process monitoring, decision-making and more, through performing comprehensive virtual-reality interaction and continuous mapping. By introducing serverless computing to Mobile Edge Computing (MEC) environments, the emerging serverless edge computing paradigm facilitates the communication-efficient digital twin services, and promises agile, fine-grained and cost-efficient provisioning of limited edge resources, where serverless functions are implemented by containers in cloudlets (edge servers). However, the nonnegligible cold start delay of containers deteriorates the responsiveness of digital twin services dramatically and the perceived user service experience. In this paper, we investigate delay-sensitive query service provisioning in digital twin-empowered serverless edge computing by considering user mobility. With digital twins of users deployed in the remote cloud, referred to as primary digital twins, we deploy their digital twin replicas based on serverless functions in cloudlets to mitigate the query service delay while enhancing user service satisfaction that is expressed as a utility function. We study two optimization problems with the aim of maximizing the accumulative utility gain: the digital twin replica placement problem per time slot, and the dynamic digital twin replica placement problem over a finite time horizon. We first formulate an Integer Linear Program (ILP) solution for the digital twin replica placement problem when the problem size is small; otherwise, we propose an approximation algorithm for the problem with a provable approximation ratio. We then design an online algorithm for the dynamic digital twin replica placement problem, and a performance-guaranteed online algorithm for a special case of the problem by assuming each user issues a query at each time slot. Finally, we evaluate the performance of the proposed algorithms for placing digital twin replicas in MEC networks through simulations. The results demonstrate the proposed algorithms are promising, outperforming their counterparts.</t>
  </si>
  <si>
    <t>1557-9956</t>
  </si>
  <si>
    <t>10.1109/TC.2024.3388897</t>
  </si>
  <si>
    <t xml:space="preserve">Hong Kong Research Grants Council (RGC) through the Collaborative Research Fund (CRF)(grant numbers:C1042-23GF); Key-Area Research and Development Program of Guangdong Province(grant numbers:2021B0101400003); Hong Kong RGC Research Impact Fund(grant numbers:R5060-19,R5034-18); Areas of Excellence Scheme(grant numbers:AoE/E-601/22-R); General Research Fund(grant numbers:152203/20E,152244/21E,152169/22E,152228/23E); Hong Kong RGC under Grant CityU(grant numbers:7005845,8730094,9043510,9380137); NSFC(grant numbers:62372118); Basic and Applied Basic Research Foundation of Guangdong Province(grant numbers:2024A1515030136); Hong Kong RGC(grant numbers:PolyU15222621,PolyU15225023); </t>
  </si>
  <si>
    <t>Digital twin;serverless computing;mobile edge computing;user mobility;approximation algorithm;online algorithm;user service satisfaction;delay-sensitive service;utility maximization;resource allocation and optimization</t>
  </si>
  <si>
    <t>Digital twins;Heuristic algorithms;Approximation algorithms;Delays;Edge computing;Containers;Computers</t>
  </si>
  <si>
    <t>Performance Optimization of Serverless Computing for Latency-Guaranteed and Energy-Efficient Task Offloading in Energy-Harvesting Industrial IoT</t>
  </si>
  <si>
    <t>H. Ko; S. Pack; V. C. M. Leung</t>
  </si>
  <si>
    <t>Serverless architecture enables various intelligent applications to be run without managing infrastructure. In this architecture, the computing cost is generally proportional to the number of requested stateless functions and this number can affect the task completion time and, thus, it is prominent to decide an appropriate number of requested stateless functions. In this article, we propose a latency-guaranteed and energy-efficient task offloading (LETO) system where an Internet of Things (IoT) device decides the number of stateless functions requested to the cloud by considering the deadline on the task completion time and its energy level. To minimize the computing cost while guaranteeing sufficiently short task completion time and low energy outage probability, we formulate a constrained Markov decision process (CMDP) problem and convert the CMDP problem into an equivalent linear programming (LP) model. By solving the LP model, the optimal policy on the number of requested stateless functions can be achieved. Evaluation results illustrate that LETO can cut down the operating expenditure (OPEX) by up to 59% compared to a latency-guaranteed offloading scheme while keeping the task completion time and the energy outage probability below desirable levels.</t>
  </si>
  <si>
    <t>10.1109/JIOT.2021.3137291</t>
  </si>
  <si>
    <t xml:space="preserve">National Research Foundation (NRF) of Korea Grant; Korean Government (MSIP)(grant numbers:2020R1A2C3006786,2021R1A4A3022102); </t>
  </si>
  <si>
    <t>Constrained Markov decision process (CMDP);energy harvesting;serverless computing;task offloading</t>
  </si>
  <si>
    <t>Task analysis;Costs;Heuristic algorithms;Computer architecture;Serverless computing;Optimization;Energy harvesting</t>
  </si>
  <si>
    <t>Cross-Edge Orchestration of Serverless Functions With Probabilistic Caching</t>
  </si>
  <si>
    <t>C. Chen; M. Herrera; G. Zheng; L. Xia; Z. Ling; J. Wang</t>
  </si>
  <si>
    <t>Serverless edge computing adopts an event-based paradigm that provides back-end services and dynamically provisions resources as needed, resulting in efficient resource utilization. To improve the end-to-end latency and revenue, service providers need to optimize the number and placement of serverless containers while considering the system cost (i.e., latency cost and container running cost) incurred by the provisioning. The particular reason for this circumstance is that frequently creating and destroying containers not only increases the system cost but also degrades the time responsiveness due to the cold-start process. Function caching is a common approach to mitigate the cold-start issue. However, function caching requires extra hardware resources and hence incurs extra system costs. Furthermore, the dynamic and bursty nature of serverless invocations remains an under-explored area. Hence, it is vitally important for service providers to conduct a context-aware request distribution and container caching policy for serverless edge computing. In this paper, we study the request distribution and container caching problem in serverless edge computing. We prove the proposed problem is NP-hard and hence difficult to find a global optimal solution. We jointly consider the distributed and resource-constrained nature of edge computing and propose an optimized request distribution algorithm that adapts to the dynamics of serverless invocations with a theoretical performance guarantee. Also, we propose a context-aware probabilistic caching policy that incorporates a number of characteristics of serverless invocations. Via simulation and implementation results, we demonstrate the superiority of the proposed algorithm by outperforming existing caching policies in terms of the overall system cost and cold-start frequency by up to 62.1$\%$% and 69.1$\%$%, respectively.</t>
  </si>
  <si>
    <t>Edge computing;resource allocation;serverless computing</t>
  </si>
  <si>
    <t>Containers;Costs;Edge computing;Heuristic algorithms;Serverless computing;Optimization;Processor scheduling</t>
  </si>
  <si>
    <t>Efficient Online Computing Offloading for Budget- Constrained Cloud-Edge Collaborative Video Streaming Systems</t>
  </si>
  <si>
    <t>S. Yuan; Y. Liu; S. Guo; J. Li; H. Chen; C. Wu; Y. Yang</t>
  </si>
  <si>
    <t>Cloud-Edge Collaborative Architecture (CEA) is a prominent framework that provides low-latency and energy-efficient solutions for video stream processing. In Cloud-Edge Collaborative Video Streaming Systems (CEAVS), efficient online offloading strategies for video tasks are crucial for enhancing user experience. However, most existing works overlook budget constraints, which limits their applicability in real-world scenarios constrained by finite resources. Moreover, they fail to adequately address the heterogeneity of video task redundancies, leading to suboptimal utilization of CEAVS's limited resources. To bridge these gaps, we propose an Efficient Online Computing framework for CEAVS (EOCA) that jointly optimizes accuracy, energy consumption, and latency performance through adaptive online offloading and redundancy compression, without requiring future task information. Technically, we formulate computing offloading and adaptive compression under budget constraints as a stochastic optimization problem that maximizes system satisfaction, defined as a weighted combination of accuracy, latency, and energy performance. We employ Lyapunov optimization to decouple the long-term budget constraint. We prove that the decoupled problem is a generalized ordinal potential game and propose algorithms based on generalized Benders decomposition (GBD) and the best response to obtain Nash equilibrium strategies for computing offloading and task compression. Finally, we analyze EOCA's performance bound, convergence rate, and worst-case performance guarantees. Evaluations demonstrate that EOCA effectively improves satisfaction while effectively balancing satisfaction and computational overhead.</t>
  </si>
  <si>
    <t>10.1109/TCC.2024.3524310</t>
  </si>
  <si>
    <t xml:space="preserve">Research and Development Program of China Telecom(grant numbers:T-2024-41,T-2024-43); Key-Area Research and Development Program of Guangdong Province(grant numbers:2021B0101400003); Hong Kong RGC Research Impact Fund(grant numbers:R5060-19,R5011-23); Areas of Excellence Scheme(grant numbers:AoE/E-601/22-R); General Research Fund(grant numbers:152203/20E,152244/21E,152169/22E,152228/23E,16216124/24E); Collaborative Research Fund(grant numbers:8730102); Hong Kong Generative AI Research and Development Center; National Natural Science Foundation of China(grant numbers:62271452); National Key R&amp;D Program of China(grant numbers:2024YFE0200500); </t>
  </si>
  <si>
    <t>Budget constraint;cloud-edge collaborative;online computing offloading;potential game</t>
  </si>
  <si>
    <t>Cloud computing;Streaming media;Optimization;Accuracy;Energy consumption;Computational modeling;Wireless communication;Termination of employment;Spatiotemporal phenomena;Serverless computing</t>
  </si>
  <si>
    <t>Serverless Cold Start Performance Optimization Based on Multi-Request Processing and Adaptive Hierarchical Scaling</t>
  </si>
  <si>
    <t>L. Yu; L. Fu; S. Chenhao</t>
  </si>
  <si>
    <t>Serverless has gained significant attention due to its advantages of high elasticity, low cost, and reduced operational overhead. However, the cold start problem severely constrains its performance and user experience. This paper proposes an innovative hierarchical startup optimization scheme that introduces a critical parameter called scaling threshold based on multi-concurrency execution within a single instance. By employing fine-grained instance concurrency control and adaptive scaling, this approach reduces the probability of cold starts while maintaining resource utilization efficiency. We systematically present the optimization principles, controller design, and implementation details of the hierarchical startup scheme. Extensive experiments are conducted to evaluate the proposed scheme for various types of Serverless applications. The results demonstrate that the hierarchical startup scheme significantly improves the cold start performance of Serverless applications, further reducing the cold start rate by 18.4% to 25.6% and the average response time by 8.9% to 27.5%. Further theoretical analysis and experimental data confirm the rationality and effectiveness of the schemeâ€™s design. The research findings enrich the theory and methods of cold start optimization in Serverless and hold significant value for enhancing Serverless application performance and promoting the widespread adoption of Serverless.</t>
  </si>
  <si>
    <t>10.1109/ACCESS.2024.3462389</t>
  </si>
  <si>
    <t>Serverless computing;cold start;performance optimization;adaptive scaling;multi-concurrency</t>
  </si>
  <si>
    <t>Optimization;Concurrent computing;Process control;Scheduling;Runtime;Job shop scheduling;Processor scheduling;Serverless computing;Performance evaluation</t>
  </si>
  <si>
    <t>Enhancing Cybersecurity Through Fusion of Optimization With Deep Wavelet Neural Networks on Denial of Wallet Attack Detection in Serverless Computing</t>
  </si>
  <si>
    <t>P. Renukadevi; S. Amaran; A. Vikram; T. Prabhakara Rao; M. K. Ishak</t>
  </si>
  <si>
    <t>A Denial of Wallet (DoW) attack is a cyberattack designed to drain financial resources by causing excessive charges or costs on a serverless computing or cloud platform. This attack is mainly associated with serverless frameworks due to features like auto-scaling, cost amplification, pay-as-you-go, and limited control. Serverless computing, or Function-as-a-Service (FaaS), is a cloud computing (CC) model that enables developers to build and run applications without managing traditional server infrastructure. Deep learning (DL) models show strong potential in detecting DoW attacks, where attackers disrupt services by exploiting system resources. By utilizing advanced neural network architectures, DL methods can identify complex patterns in network traffic, offering enhanced accuracy and resilience against such attacks. This study presents a Fusion of Optimization with Deep Wavelet Neural Networks on Denial of Wallet Attack Detection (FODWNN-DoWAD) approach in serverless computing. The main intention of the FODWNN-DoWAD approach is to enhance cybersecurity in DoW attack detection. The FODWNN-DoWAD method utilizes min-max normalization to scale the input network data into a beneficial format. Besides, the pair barracuda swarm optimization (PBSO) method is employed to select features optimally. To recognize a DoW attack, the FODWNN-DoWAD method utilizes a deep wavelet neural network (DWNN) model. Finally, the hyperparameter tuning of the DWNN classifier is performed using the hierarchical learning-based chaotic crayfish optimizer (HLCCO) model. Wide-ranging experiments are accomplished on a benchmark database to demonstrate the good classification outcome of the FODWNN-DoWAD model. The performance validation of the FODWNN-DoWAD approach portrayed a superior accuracy value of 99.05% over existing methods.</t>
  </si>
  <si>
    <t>10.1109/ACCESS.2025.3550735</t>
  </si>
  <si>
    <t xml:space="preserve">Ajman University, United Arab Emirates; </t>
  </si>
  <si>
    <t>Denial of wallet;deep wavelet neural network;cybersecurity;feature selection;serverless computing</t>
  </si>
  <si>
    <t>Serverless computing;Computational modeling;Neural networks;Accuracy;Optimization;Costs;Smart contracts;Computer architecture;Blockchains;Tuning</t>
  </si>
  <si>
    <t>HashCache: Accelerating Serverless Computing by Skipping Duplicated Function Execution</t>
  </si>
  <si>
    <t>Z. Wu; Y. Deng; Y. Zhou; L. Cui; X. Qin</t>
  </si>
  <si>
    <t>Serverless computing is a leading force behind deploying and managing software in cloud computing. One inherent challenge in serverless computing is the increased overall latency due to duplicate computations. Our initial investigation into the function invocations of serverless applications reveals an abundance of duplicate invocations. Inspired by this critical observation, we introduce HashCache, a system designed to cache duplicate function invocations, thereby mitigating duplicate computations. In HashCache, serverless functions are classified into three categories, namely, computational functions, stateful functions, and environment-related functions. On the grounds of such a function classification, HashCache associates the stateful functions and their states to build an adaptive synchronization mechanism. With this support, HashCache exploits the cached results of computational and stateful functions to serve upcoming invocation requests to the same functions, thereby reducing duplicate computations. Moreover, HashCache stores remote files probed by stateful functions into a local cache layer, which further curtails invocation latency. We implement HashCache within the Apache OpenWhisk to forge a cache-enabled serverless computing platform. We conduct extensive experiments to quantitatively evaluate the performance of HashCache in terms of invocation latency and resource utilization. We compare HashCache against two state-of-the-art approaches - FaaSCache and OpenWhisk. The experimental results unveil that our HashCache remarkably reduces invocation latency and resource overhead. More specifically, HashCache curbs the 99-tail latency of FaaSCache and OpenWhisk by up to 91.37% and 95.96% in real-world serverless applications. HashCache also slashes the resource utilization of FaaSCache and OpenWhisk by up to 31.62% and 35.51%, respectively.</t>
  </si>
  <si>
    <t>10.1109/TPDS.2023.3323330</t>
  </si>
  <si>
    <t xml:space="preserve">National Natural Science Foundation of China(grant numbers:62072214); Basic and Applied Basic Research Foundation of Guangdong Province(grant numbers:2021B1515120048); Open Project Program of Wuhan National Laboratory for Optoelectronics(grant numbers:2020WNLOKF006); National Science Foundation(grant numbers:IIS-1618669,OAC-1642133); </t>
  </si>
  <si>
    <t>Cloud computing;function-as-a-service;performance optimization;serverless computing</t>
  </si>
  <si>
    <t>Containers;Runtime;Serverless computing;Python;Optimization;Monitoring;Computer science</t>
  </si>
  <si>
    <t>Joint Optimization of Parallelism and Resource Configuration for Serverless Function Steps</t>
  </si>
  <si>
    <t>Z. Wen; Q. Chen; Y. Niu; Z. Song; Q. Deng; F. Liu</t>
  </si>
  <si>
    <t>Function-as-a-Service (FaaS) offers a fine-grained resource provision model, enabling developers to build highly elastic cloud applications. User requests are handled by a series of serverless functions step by step, which forms a multi-step workflow. The developers are required to set proper configurations for functions to meet service level objectives (SLOs) and save costs. However, developing the configuration strategy is challenging. This is mainly because the execution of serverless functions often suffers from cold starts and performance fluctuation, which requires a dynamic configuration strategy to guarantee the SLOs. In this article, we present StepConf, a framework that automates the configuration as the workflow runs. StepConf optimizes memory size for each function step in the workflow and takes inter and intra-function parallelism into consideration, which has been overlooked by existing work. StepConf intelligently predicts the potential configurations for subsequent function steps, and proactively prewarms function instances in a configuration-aware manner to reduce the cold start overheads. We evaluate StepConf on AWS and Knative. Compared to existing work, StepConf improves performance by up to 5.6Ã— under the same cost budget and achieves up to a 40% cost reduction while maintaining the same level of performance.</t>
  </si>
  <si>
    <t>10.1109/TPDS.2024.3365134</t>
  </si>
  <si>
    <t xml:space="preserve">National Key Research &amp; Development(grant numbers:2022YFB4501703); Major Key Project of PCL(grant numbers:PCL2022A05); </t>
  </si>
  <si>
    <t>Serverless computing;resource management;resource configuration;function workflow</t>
  </si>
  <si>
    <t>Parallel processing;Delays;Costs;Optimization;Resource management;Fluctuations;Engines</t>
  </si>
  <si>
    <t>IEEE/ACM Transactions on Networking</t>
  </si>
  <si>
    <t>R. Gu; S. Wang; H. Dai; X. Chen; Z. Wang; W. Bao; J. Zheng; Y. Tu; Y. Huang; L. Qi; X. Xu; W. Dou; G. Chen</t>
  </si>
  <si>
    <t>Nowadays, there exists a lot of cross-region data transmission demand on the cloud. It is promising to use serverless computing for data compressing to save the total data size. However, it is challenging to estimate the data transmission time and monetary cost with serverless compression. In addition, minimizing the data transmission cost is non-trivial due to the enormous parameter space. This paper focuses on this problem and makes the following contributions: 1) We propose empirical data transmission time and monetary cost models based on serverless compression. It can also predict compression information, e.g., ratio and speed using chunk sampling and machine learning techniques. 2) For single-task cloud data transmission, we propose two efficient parameter search methods based on Sequential Quadratic Programming (SQP) and Eliminate then Divide and Conquer (EDC) with proven error upper bounds. Besides, we propose a parameter fine-tuning strategy to deal with transmission bandwidth variance. 3) Furthermore, for multi-task scenarios, a parameter search method based on dynamic programming and numerical computation is proposed. We have implemented the system called Fluid-Shuttle, which includes straggler optimization, cache optimization, and the autoscaling decompression mechanism. Finally, we evaluate the performance of Fluid-Shuttle with various workloads and applications on the real-world AWS serverless computing platform. Experimental results show that the proposed approach can improve the parameter search efficiency by over  $3\times $  compared with the state-of-art methods and achieves better parameter quality. In addition, our approach achieves higher time efficiency and lower monetary cost compared with competing cloud data transmission approaches.</t>
  </si>
  <si>
    <t>1558-2566</t>
  </si>
  <si>
    <t xml:space="preserve">National Natural Science Foundation of China(grant numbers:62072230,62272223,U22A2031); Jiangsu Province Science and Technology Key Program(grant numbers:BE2021729); Collaborative Innovation Center of Novel Software Technology and Industrialization(grant numbers:62072230,62272223,U22A2031,BE2021729); </t>
  </si>
  <si>
    <t>Data transmission;serverless compression;cloud function configuration</t>
  </si>
  <si>
    <t>Data communication;Costs;Bandwidth;Data models;Serverless computing;Data compression;Writing;Optimization;Concurrent computing;Computational modeling</t>
  </si>
  <si>
    <t>Operating Latency Sensitive Applications on Public Serverless Edge Cloud Platforms</t>
  </si>
  <si>
    <t>I. Pelle; J. Czentye; J. DÃ³ka; A. Kern; B. P. GerÅ‘; B. Sonkoly</t>
  </si>
  <si>
    <t>Cloud native programming and serverless architectures provide a novel way of software development and operation. A new generation of applications can be realized with features never seen before while the burden on developers and operators will be reduced significantly. However, latency sensitive applications, such as various distributed IoT services, generally do not fit in well with the new concepts and today's platforms. In this article, we adapt the cloud native approach and related operating techniques for latency sensitive IoT applications operated on public serverless platforms. We argue that solely adding cloud resources to the edge is not enough and other mechanisms and operation layers are required to achieve the desired level of quality. Our contribution is threefold. First, we propose a novel system on top of a public serverless edge cloud platform, which can dynamically optimize and deploy the microservice-based software layout based on live performance measurements. We add two control loops and the corresponding mechanisms which are responsible for the online reoptimization at different timescales. The first one addresses the steady-state operation, while the second one provides fast latency control by directly reconfiguring the serverless runtime environments. Second, we apply our general concepts to one of today's most widely used and versatile public cloud platforms, namely, Amazon's AWS, and its edge extension for IoT applications, called Greengrass. Third, we characterize the main operation phases and evaluate the overall performance of the system. We analyze the performance characteristics of the two control loops and investigate different implementation options.</t>
  </si>
  <si>
    <t>10.1109/JIOT.2020.3042428</t>
  </si>
  <si>
    <t xml:space="preserve">AWS Cloud Credits for Research Program; </t>
  </si>
  <si>
    <t>Amazon Web Services (AWS);cloud;edge;greengrass;IoT;lambda;serverless</t>
  </si>
  <si>
    <t>Cloud computing;Software;Internet of Things;Tools;Optimization;Monitoring;Layout</t>
  </si>
  <si>
    <t>Function Delivery Network: A Spatial-Temporal Execution Orchestrator for Optimizing Serverless Computing</t>
  </si>
  <si>
    <t>J. R. Corporan; A. Bahga; V. K. Madisetti</t>
  </si>
  <si>
    <t>We present Function Delivery Network (FDN), a novel spatial-temporal execution orchestrator designed to address key limitations in current serverless computing models. The FDN introduces several innovations, including a multi-tenant serverless model, a secure and reusable functional context, and distributed shared memory, to optimize resource allocation and improve performance in high-concurrency and globally distributed scenarios. We implement the FDN on a major cloud platform and evaluate its performance against traditional Function-as-a-Service (FaaS) execution using a variety of benchmark functions. Our results demonstrate significant improvements in resource utilization, execution time, and request completion rates. The FDN reduces function instance allocation by up to 97.82%, improves median response times by 45.45%, and maintains higher request completion rates at high concurrency levels compared to native FaaS execution. The FDNâ€™s adaptive execution window mechanism allows for fine-tuned optimization based on function characteristics and workload patterns. This approach effectively addresses challenges such as cold starts, inefficient resource allocation, and scalability limitations in current serverless platforms. By providing a more efficient and scalable model for serverless computing, the FDN enables more cost-effective and performant cloud-native applications, particularly in scenarios involving high concurrency and global distribution.</t>
  </si>
  <si>
    <t>Serverless computing;functions-as-a-service;lambda functions</t>
  </si>
  <si>
    <t>Serverless computing;Computer architecture;Computational modeling;Optimization;Containers;Concurrent computing;Costs;Technological innovation;Codes;Adaptation models</t>
  </si>
  <si>
    <t>FaaSCtrl: A Comprehensive-Latency Controller for Serverless Platforms</t>
  </si>
  <si>
    <t>A. Panda; S. R. Sarangi</t>
  </si>
  <si>
    <t>Serverless computing systems have become very popular because of their natural advantages with respect to auto-scaling, load balancing and fast distributed processing. As of today, almost all serverless systems define two QoS classes: best-effort ($BE$BE) and latency-sensitive ($LS$LS). Systems typically do not offer any latency or QoS guarantees for $BE$BE jobs and run them on a best-effort basis. In contrast, systems strive to minimize the processing time for $LS$LS jobs. This work proposes a precise definition for these job classes and argues that we need to consider a bouquet of performance metrics for serverless applications, not just a single one. We thus propose the comprehensive latency ($CL$CL) that comprises the mean, tail latency, median and standard deviation of a series of invocations for a given serverless function. Next, we design a system FaaSCtrl, whose main objective is to ensure that every component of the $CL$CL is within a prespecified limit for an LS application, and for BE applications, these components are minimized on a best-effort basis. Given the sheer complexity of the scheduling problem in a large multi-application setup, we use the method of surrogate functions in optimization theory to design a simpler optimization problem that relies on performance and fairness. We rigorously establish the relevance of these metrics through characterization studies. Instead of using standard approaches based on optimization theory, we use a much faster reinforcement learning (RL) based approach to tune the knobs that govern process scheduling in Linux, namely the real-time priority and the assigned number of cores. RL works well in this scenario because the benefit of a given optimization is probabilistic in nature, owing to the inherent complexity of the system. We show using rigorous experiments on a set of real-world workloads that FaaSCtrl achieves its objectives for both LS and BE applications and outperforms the state-of-the-art by 36.9% (for tail response latency) and 44.6% (for response latency's std. dev.) for LS applications.</t>
  </si>
  <si>
    <t>10.1109/TCC.2024.3473015</t>
  </si>
  <si>
    <t xml:space="preserve">Prime Minister's Research Fellows' scheme(grant numbers:1401192); </t>
  </si>
  <si>
    <t>Job colocation;serverless computing;performance interference;reinforcement learning;resource scheduling</t>
  </si>
  <si>
    <t>Measurement;Tail;Quality of service;Standards;Optimization;Reinforcement learning;Serverless computing;Real-time systems;Degradation;Schedules</t>
  </si>
  <si>
    <t>IEEE Transactions on Network and Service Management</t>
  </si>
  <si>
    <t>Configuration and Placement of Serverless Applications Using Statistical Learning</t>
  </si>
  <si>
    <t>A. Raza; N. Akhtar; V. Isahagian; I. Matta; L. Huang</t>
  </si>
  <si>
    <t>In the last decade, serverless computing emerged as a new compelling paradigm for the deployment of cloud applications and services. It represents an evolution of cloud computing with a simplified programming model, that aims to abstract away most operational concerns. Running serverless applications requires users to configure multiple parameters, such as memory, CPU, cloud provider, etc. While relatively simpler, configuring such parameters correctly while minimizing cost and meeting delay constraints is not trivial. In this paper, we present COSE, a framework that uses Bayesian Optimization to find the optimal resource configuration and placement for functions in a serverless application. COSE uses statistical learning techniques to intelligently collect samples and predict the cost and execution time of a serverless function across unseen configuration values. Our framework uses the predicted cost and execution time on available locations to select the â€œbestâ€ configuration parameters and placement for running a serverless application while satisfying customer objectives. We evaluate COSE on AWS Lambda with real-world applications consisting of multiple functions (both linear chains and service graphs), where we successfully found optimal/near-optimal configurations. We also evaluate COSE over a wide range of simulated distributed cloud environments that confirm the efficacy of our approach.</t>
  </si>
  <si>
    <t>1932-4537</t>
  </si>
  <si>
    <t xml:space="preserve">National Science Foundation(grant numbers:CNS-1908677); </t>
  </si>
  <si>
    <t>Serverless;FaaS;AWS;IaaS</t>
  </si>
  <si>
    <t>Costs;Codes;Serverless computing;Java;Statistical learning;Runtime;Optimization</t>
  </si>
  <si>
    <t>BaaSLess: Backend-as-a-Service (BaaS)-Enabled Workflows in Federated Serverless Infrastructures</t>
  </si>
  <si>
    <t>T. Larcher; P. Gritsch; S. Nastic; S. Ristov</t>
  </si>
  <si>
    <t>Serverless is a popular paradigm for expressing compute-intensive applications as serverless workflows. In practice, a significant portion of the computing is typically offloaded to various Backend-as-a-Service (BaaS) cloud services. The recent rise of federated serverless and Sky computing offers cost and performance advantages for these BaaS-enabled serverless workflows. However, due to vendor lock-in and lack of service interoperability, many challenges remain that impact the development, deployment, and scheduling of BaaS-enabled serverless workflows in federated serverless infrastructures. This paper introduces BaaSLess â€“ a novel platform that delivers global and dynamic federated BaaS to serverless workflows. BaaSLess provides: i) a novel SDK for uniform and dynamic access to federated BaaS services, reducing the complexity associated with the development of BaaS-enabled serverless workflows, ii) a novel globally-federated serverless BaaS framework that delivers a suite of BaaS-less ML services, including text-to-speech, speech-to-text, translation, and OCR, together with a globally-federated storage infrastructure, comprising AWS and Google cloud providers, and iii) a novel model and an algorithm for scheduling BaaS-enabled serverless workflows to improve their performance. Experimental results using three complementary BaaS-enabled serverless workflows show that BaaSLess improves workflow execution time by up to $2.95\times$2.95Ã— compared to the state-of-the-art serverless schedulers, often at a lower cost.</t>
  </si>
  <si>
    <t>10.1109/TCC.2024.3439268</t>
  </si>
  <si>
    <t xml:space="preserve">Land Tirol, Austria(grant numbers:F.35499); European Union(grant numbers:101140216); KDT Joint Undertaking; Ã–sterreichische ForschungsfÃ¶rderungsgesellschaft mbH(grant numbers:FO999909832); </t>
  </si>
  <si>
    <t>Backend-as-a-Service (BaaS);federation;optimization;SDK;serverless</t>
  </si>
  <si>
    <t>Optical character recognition;Costs;Codes;Interoperability;Speech to text;Serverless computing;Scheduling</t>
  </si>
  <si>
    <t>FaaSDeliver: Cost-Efficient and QoS-Aware Function Delivery in Computing Continuum</t>
  </si>
  <si>
    <t>G. Yu; P. Chen; Z. Zheng; J. Zhang; X. Li; Z. He</t>
  </si>
  <si>
    <t>Serverless Function-as-a-Service (FaaS) is a rapidly growing computing paradigm in the cloud era. To provide rapid service response and save network bandwidth, traditional cloud-based FaaS platforms have been extended to the edge. However, launching functions in a heterogeneous computing continuum (HCC) that includes the cloud, fog, and the edge brings new challenges: determining where functions should be delivered and how many resources should be allocated. To optimize the cost of running functions in the HCC, we propose an adaptive and efficient function delivery engine, named FaaSDeliver, which automatically unearths a cost-efficient function delivery policy (FDP) for each function, including the FaaS platform selection and resource allocation. Real system implementation and evaluations in a practical HCC demonstrate that FaaSDeliver can unearth the most cost-efficient FDPs from among 180,200 FDPs after a few trials. FaaSDeliver reduces the average cost of function execution from 38% to 78% compared to some state-of-the-art approaches.</t>
  </si>
  <si>
    <t xml:space="preserve">Key-Area Research and Development Program of Guangdong Province(grant numbers:2020B010165002); National Natural Science Foundation of China(grant numbers:62272495); Basic and Applied Basic Research of Guangzhou(grant numbers:202002030328); Basic and Applied Basic Research Foundation of Guangdong Province(grant numbers:2023B1515020054); CCF-Lenovo Blue Ocean Research Fund; Project of Core Blockchain of Ministry of Education of China(grant numbers:2020KJ010801); Fundamental Research Funds for the Central Universities; Sun Yat-sen University(grant numbers:22qntd1004); </t>
  </si>
  <si>
    <t>Computing continuum;function as a service;online learning;serverless computing</t>
  </si>
  <si>
    <t>Costs;Cloud computing;Resource management;Time factors;Engines;Computational modeling;Service computing</t>
  </si>
  <si>
    <t>M. Zhang; Y. Zhu; J. Liu; F. Wang; F. Wang</t>
  </si>
  <si>
    <t xml:space="preserve">Natural Sciences and Engineering Research Council of Canada (NSERC) Discovery; Canada Foundation for Innovation (CFI) John R. Evans Leaders Fund (JELF); British Columbia Knowledge Development Fund (BCKDF); Mathematics of Information Technology and Complex Systems (MITACS); Shanghai Jiao Tong University (SJTU) Explore-X Grant; National Natural Science Foundation of China(grant numbers:62102342); </t>
  </si>
  <si>
    <t>Serverless computing;video processing;configuration tuning;Bayesian optimization</t>
  </si>
  <si>
    <t>Pipelines;Tuning;Costs;Serverless computing;Pipeline processing;FAA;Task analysis</t>
  </si>
  <si>
    <t>Dynamic Management of Constrained Computing Resources for Serverless Services</t>
  </si>
  <si>
    <t>M. Adeppady; A. Conte; P. Giaccone; H. Karl; C. Fabiana Chiasserini</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</si>
  <si>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AiWâ€™s decisions on request scheduling. COME addresses the mismatch in timescales for resource provisioning decisions at the container and server levels. Extensive performance evaluation through simulation shows AiWâ€™s close match to the optimum and COMEâ€™s significant reduction in power consumption by 22â€“64% compared state-of-the-art alternatives.</t>
  </si>
  <si>
    <t>10.1109/TNSM.2024.3497155</t>
  </si>
  <si>
    <t xml:space="preserve">EC through the SEMANTIC project(grant numbers:861165); DFG through the SWAVES project; </t>
  </si>
  <si>
    <t>Edge computing;cloud computing services;energy-aware management;orchestration</t>
  </si>
  <si>
    <t>Energy consumption;Data centers;Power demand;Heuristic algorithms;System performance;Serverless computing;Microservice architectures;Containers;Dynamic scheduling;Service level agreements</t>
  </si>
  <si>
    <t>S. Qi; L. Monis; Z. Zeng; I. -C. Wang; K. K. Ramakrishnan</t>
  </si>
  <si>
    <t>Serverless computing promises an efficient, low-cost compute capability in cloud environments. However, existing solutions, epitomized by open-source platforms such as Knative, include heavyweight components that undermine this goal of serverless computing. Additionally, such serverless platforms lack dataplane optimizations to achieve efficient, high-performance function chains that facilitate the popular microservices development paradigm. Their use of unnecessarily complex and duplicate capabilities for building function chains severely degrades performance. â€˜Cold-startâ€™ latency is another deterrent. We describe SPRIGHT, a lightweight, high-performance, responsive serverless framework. SPRIGHT exploits shared memory processing and dramatically improves the scalability of the dataplane by avoiding unnecessary protocol processing and serialization-deserialization overheads. SPRIGHT extensively leverages event-driven processing with the extended Berkeley Packet Filter (eBPF). We creatively use eBPFâ€™s socket message mechanism to support shared memory processing, with overheads being strictly load-proportional. Compared to constantly-running, polling-based DPDK, SPRIGHT achieves the same dataplane performance with  $10\times $  less CPU usage under realistic workloads. Additionally, eBPF benefits SPRIGHT, by replacing heavyweight serverless components, allowing us to keep functions â€˜warmâ€™ with negligible penalty. Our preliminary experimental results show that SPRIGHT achieves an order of magnitude improvement in throughput and latency compared to Knative, while substantially reducing CPU usage, and obviates the need for â€˜cold-startâ€™.</t>
  </si>
  <si>
    <t xml:space="preserve">U.S. NSF(grant numbers:CRI-1823270,CNS-1818971,CSR-1763929); </t>
  </si>
  <si>
    <t>Serverless;eBPF;event-driven;function chain;shared memory</t>
  </si>
  <si>
    <t>Protocols;Serverless computing;Pipelines;Logic gates;Kernel;Throughput;Routing</t>
  </si>
  <si>
    <t>Freyr $^+$+: Harvesting Idle Resources in Serverless Computing via Deep Reinforcement Learning</t>
  </si>
  <si>
    <t>H. Yu; H. Wang; J. Li; X. Yuan; S. -J. Park</t>
  </si>
  <si>
    <t>Serverless computing has revolutionized online service development and deployment with ease-to-use operations, auto-scaling, fine-grained resource allocation, and pay-as-you-go pricing. However, a gap remains in configuring serverless functionsâ€”the actual resource consumption may vary due to function types, dependencies, and input data sizes, thus mismatching the static resource configuration by users. Dynamic resource consumption against static configuration may lead to either poor function execution performance or low utilization. This paper proposes Freyr$^+$+, a novel resource manager (RM) that dynamically harvests idle resources from over-provisioned functions to accelerate under-provisioned functions for serverless platforms. Freyr$^+$+ monitors each function's resource utilization in real-time and detects the mismatches between user configuration and actual resource consumption. We design deep reinforcement learning (DRL) algorithms with attention-enhanced embedding, incremental learning, and safeguard mechanism for Freyr$^+$+ to harvest idle resources safely and accelerate functions efficiently. We have implemented and deployed a Freyr$^+$+ prototype in a 13-node Apache OpenWhisk cluster using AWS EC2. Freyr$^+$+ is evaluated on both large-scale simulation and real-world testbed. Experimental results show that Freyr$^+$+ harvests 38% of function invocationsâ€™ idle resources and accelerates 39% of invocations using harvested resources. Freyr$^+$+ reduces the 99th-percentile function response latency by 26% compared to the baseline RMs.</t>
  </si>
  <si>
    <t xml:space="preserve">NSF(grant numbers:2153502,2403247,2403398); AWS Cloud Credit for Research; NSF(grant numbers:2148309,2337914); NSF(grant numbers:2019511,2348452,2315613); NSF(grant numbers:2403248,2403399); NSF(grant numbers:1925001); </t>
  </si>
  <si>
    <t>Attention;incremental learning;reinforcement learning;resource harvesting;serverless computing</t>
  </si>
  <si>
    <t>Nearest neighbor methods;Serverless computing;Memory management;Dynamic scheduling;Training;Heuristic algorithms;Deep reinforcement learning</t>
  </si>
  <si>
    <t>Astrea: Auto-Serverless Analytics Towards Cost-Efficiency and QoS-Awareness</t>
  </si>
  <si>
    <t>J. Jarachanthan; L. Chen; F. Xu; B. Li</t>
  </si>
  <si>
    <t>With the ability to simplify the code deployment with one-click upload and lightweight execution, serverless computing has emerged as a promising paradigm with increasing popularity. However, there remain open challenges when adapting data-intensive analytics applications to the serverless context, in which users of serverless analytics encounter the difficulty in coordinating computation across different stages and provisioning resources in a large configuration space. This paper presents our design and implementation of Astrea, which configures and orchestrates serverless analytics jobs in an autonomous manner, while taking into account flexibly-specified user requirements. Astrea relies on the modeling of performance and cost which characterizes the intricate interplay among multi-dimensional factors (e.g., function memory size, degree of parallelism at each stage). We formulate an optimization problem based on user-specific requirements towards performance enhancement or cost reduction, and develop a set of algorithms based on graph theory to obtain the optimal job execution. We deploy Astrea in the AWS Lambda platform and conduct real-world experiments over representative benchmarks, including Big Data analytics and machine learning workloads, at different scales. Extensive results demonstrate that Astrea can achieve the optimal execution decision for serverless data analytics, in comparison with various provisioning and deployment baselines. For example, when compared with three provisioning baselines, Astrea manages to reduce the job completion time by 21% to 69% under a given budget constraint, while saving cost by 20% to 84% without violating performance requirements.</t>
  </si>
  <si>
    <t>10.1109/TPDS.2022.3172069</t>
  </si>
  <si>
    <t xml:space="preserve">National Science Foundation(grant numbers:OIA-2019511); Louisiana Board of Regents(grant numbers:LEQSF(2019-22)-RD-A-21); National Natural Science Foundation of China(grant numbers:61972158); Science and Technology Commission of Shanghai Municipality(grant numbers:20511102802,18DZ2270800); RGC RIF(grant numbers:R6021-20); RGC GRF(grant numbers:16209120,16200221); </t>
  </si>
  <si>
    <t>Cloud computing;serverless computing;resource provisioning;modeling;optimization</t>
  </si>
  <si>
    <t>Costs;Serverless computing;Data analysis;Quality of service;Optimization;Machine learning;Parallel processing</t>
  </si>
  <si>
    <t>RHINO: An Efficient Serverless Container System for Small-Scale HPC Applications</t>
  </si>
  <si>
    <t>H. Zhu; M. Li; H. You</t>
  </si>
  <si>
    <t>Serverless computing, characterized by its pay-as-you-go and auto-scaling features, offers a promising alternative for High Performance Computing (HPC) applications, as traditional HPC clusters often face long waiting times and resources over/under-provisioning. However, current serverless platforms struggle to support HPC applications due to restricted inter-function communication and high coupling runtime. To address these issues, we introduce RHINO, which offers end-to-end support for the development and deployment of serverless HPC. Using the Two-Step Adaptive Build strategy, the HPC code is packaged into lightweight, scalable functions. The Rhino Function Execution Model decouples HPC applications from the underlying infrastructures. The Auto-scaling Engine dynamically scales cloud resources and schedules tasks based on performance and cost requirements. We deploy RHINO on AWS Fargate and evaluate it on both benchmarks and real-world workloads. Experimental results show that, when compared to the traditional VM clusters, RHINO can achieve a performance improvement of 10% â€“30% for small-scale applications and more than 40% cost reduction.</t>
  </si>
  <si>
    <t xml:space="preserve">National Natural Science Foundation of China(grant numbers:41930110); </t>
  </si>
  <si>
    <t>Serverless computing;HPC system;runtime optimization;execution model</t>
  </si>
  <si>
    <t>Runtime;Codes;Computational modeling;Costs;Containers;Adaptation models;Parallel processing;Training;Schedules;Scalability</t>
  </si>
  <si>
    <t>An Online Algorithm for Inference Service Scheduling Using Combinations of Server-Based and Serverless Instances in Cloud Environments</t>
  </si>
  <si>
    <t>S. Liu; L. Pan; S. Liu; K. Qi</t>
  </si>
  <si>
    <t>With the continuous development in the field of machine learning, there is an increasing demand for the cloud-based machine learning inference services, which are latency-sensitive tasks, such as the service requests from the Internet of Things (IoT) devices. These inference services are generally accompanied by fluctuations and uncertainties, so they often require vastly varied numbers of servers at different time spots. As a result, how to dynamically and rationally schedule cloud servers for inference services has become an important issue. Alibaba Cloud currently provides its serverless instances called elastic container instance (ECI), and due to the advantages of pay-as-you-go billing and second-level elasticity, they are well-suited for handling bursty or fluctuating workloads. At the same time, Alibaba Cloudâ€™s subscription-based elastic compute service (ECS) instances can be used for steady-state workloads. Our objective is to dynamically combine these two types of instances to deal with inference service requests. In this article, we propose a deterministic online algorithm that can rationally schedule these two types of instances to optimize costs without requiring knowledge of future workloads. We prove that the proposed online algorithm achieves a competitive ratio of no more than 2 compared to the optimal offline algorithm. Through simulation experiments, we demonstrate that our algorithm outperforms three benchmarks, which are all-reserved algorithm, all-on-demand algorithm, and traditional online algorithms that only use ECS instances. Our algorithm exhibits superiority across various workloads and can significantly reduces costs in most cases.</t>
  </si>
  <si>
    <t xml:space="preserve">Shandong Provincial Natural Science Foundation, China(grant numbers:ZR2022LZH018); </t>
  </si>
  <si>
    <t>Cloud computing;competitive analysis;cost management;inference service;online algorithm</t>
  </si>
  <si>
    <t>Cloud computing;Costs;Pricing;Inference algorithms;Servers;Optimization;Machine learning;Internet of Things;Scheduling;Prediction algorithms</t>
  </si>
  <si>
    <t>FUSIONIZE++: Improving Serverless Application Performance Using Dynamic Task Inlining and Infrastructure Optimization</t>
  </si>
  <si>
    <t>T. Schirmer; J. Scheuner; T. Pfandzelter; D. Bermbach</t>
  </si>
  <si>
    <t>The Function-as-a-Service (FaaS) execution model increases developer productivity by removing operational concerns such as managing hardware or software runtimes. Developers, however, still need to partition their applications into FaaS functions, which is error-prone and complex: Encapsulating only the smallest logical unit of an application as a FaaS function maximizes flexibility and reusability. Yet, it also leads to invocation overheads, additional cold starts, and may increase cost due to double billing during synchronous invocations. Conversely, deploying an entire application as a single FaaS function avoids these overheads but decreases flexibility. In this paper we present Fusionize, a framework that automates optimizing for this trade-off by automatically fusing application code into an optimized multi-function composition. Developers only need to write fine-grained application code following the serverless model, while Fusionize automatically fuses different parts of the application into FaaS functions, manages their interactions, and configures the underlying infrastructure. At runtime, it monitors application performance and adapts it to minimize request-response latency and costs. Real-world use cases show that Fusionize can improve the deployment artifacts of the application, reducing both median request-response latency and cost of an example IoT application by more than 35%.</t>
  </si>
  <si>
    <t>10.1109/TCC.2024.3451108</t>
  </si>
  <si>
    <t>Cloud orchestration;FaaS;function fusion;serverless computing</t>
  </si>
  <si>
    <t>Task analysis;Costs;Cloud computing;Monitoring;Runtime;Optimization;Load modeling</t>
  </si>
  <si>
    <t>Joint Service Request Scheduling and Container Retention in Serverless Edge Computing for Vehicle-Infrastructure Collaboration</t>
  </si>
  <si>
    <t>S. Hu; Z. Qu; B. Tang; B. Ye; G. Li; W. Shi</t>
  </si>
  <si>
    <t>Lightweight and layered structure containers in serverless edge computing (SEC) provide flexible service configurations and computing for vehicles with diverse service requests in the Vehicle-Infrastructure Collaboration (VIC) environment. Despite progress in service request scheduling for the VIC system, the effect of layer sharing between different service images on request scheduling has not been fully explored. Additionally, the cold-start latency of service containers in SEC can significantly degrade the responsiveness of vehicle services, and container retention is proposed to minimize its impact and improve overall system performance. However, the existing research neglects the complex coupling relationship between request scheduling and container retention decisions, while focusing on the single decision optimization problem. Consequently, minimizing system costs by single decision optimization may not achieve the effect of joint decision optimization. To bridge this gap, we study the joint service request scheduling and container retention problem based on layer sharing and container caching. First, we model the joint decision problem with specific constraints and aim to minimize the long-term system cost while considering vehicle mobility. Second, an online co-decision scheme called Onco is proposed to solve the problem, which incorporates request scheduling and container retention for multiple vehicle services. Finally, both synthetic and real trace-driven simulation experiments have been conducted to evaluate the performance of Onco. The experimental results show that Onco outperforms state-of-the-art baselines in terms of system cost reduction and response time improvement.</t>
  </si>
  <si>
    <t xml:space="preserve">Fundamental Research Funds for the Central Universities(grant numbers:B210201053); Water Conservancy Project of Jiangsu Province(grant numbers:2021053); National Natural Science Foundation of China(grant numbers:62202140,62102131,61872005,62372214,62072216); Natural Science Foundation of Jiangsu Province of China(grant numbers:BK20220974,BK20210361); Future Network Scientific Research Fund Project(grant numbers:FNSRFP-2021-ZD-07); </t>
  </si>
  <si>
    <t>Container retention;serverless edge computing;service request scheduling;vehicle-infrastructure collaboration</t>
  </si>
  <si>
    <t>Containers;Processor scheduling;Costs;Scheduling;Edge computing;Mobile computing;Task analysis</t>
  </si>
  <si>
    <t>IEEE Embedded Systems Letters</t>
  </si>
  <si>
    <t>FEARLESS: A Federated Reinforcement Learning Orchestrator for Serverless Edge Swarms</t>
  </si>
  <si>
    <t>C. Sad; D. Masouros; K. Siozios</t>
  </si>
  <si>
    <t>The rise of edge computing, characterized by swarms of edge devices, marks a significant shift in cloud-edge computing landscapes, moving data processing closer to the source of data generation. However, this paradigm introduces complexities in orchestration, as traditional centralized methods become inadequate for effectively managing distributed, dynamic edge environments. In this letter, we introduce FEARLESS, a distributed orchestration framework tailored for swarms of edge devices. FEARLESS employs a vertical federated reinforcement learning approach to efficiently orchestrate function invocation requests in serverless swarms. Experimental results demonstrate that FEARLESS significantly reduces the quality-of-service violations of the scheduled tasks by up to 57%, compared to a centralized â€œleast-CPU-utilizationâ€ and a â€œlocal-executionâ€ approach, while it also achieves approximately up to 20% average total energy reduction.</t>
  </si>
  <si>
    <t>1943-0671</t>
  </si>
  <si>
    <t xml:space="preserve">EU H2020 Research and Innovation Program(grant numbers:101017168); </t>
  </si>
  <si>
    <t>Edge computing;FaaS;federated learning (FL);orchestrator;reinforcement learning (RL);serverless computing</t>
  </si>
  <si>
    <t>Quality of service;Performance evaluation;Training;Measurement;Hardware;Metadata;Federated learning</t>
  </si>
  <si>
    <t>IEEE Early Access Articles</t>
  </si>
  <si>
    <t>Scalable Cold-Start Optimization in Serverless Computing: Leveraging Function Fusion with PanOpticon Simulator</t>
  </si>
  <si>
    <t>R. K. Behera; A. Kumari; S. -B. Cho</t>
  </si>
  <si>
    <t>Serverless computing has transformed cloud computing with its inherent scalability, pay-as-you-go pricing model, and low-latency execution. However, cold-start delays arising from the on-demand initialization of execution environments such as containers or virtual machines remain a persistent bottleneck, particularly for latency-sensitive applications. This paper addresses this challenge by proposing a novel function fusion approach to minimize cold-start latency in serverless environments. The proposed strategy leverages the PanOpticon simulator, a comprehensive platform for deploying and evaluating Function-as-a-Service (FaaS) applications. The proposed approach reduces redundant initialization overhead and improves resource utilization by dynamically merging functions within a workflow. Unlike conventional frameworks, our method integrates function fusion directly into the simulation and evaluation pipeline, enabling more scalable and performance-aware optimizations. Extensive simulation-based evaluations demonstrate that the fusion strategy significantly reduces cold-start delays while enhancing system throughput and responsiveness across diverse workloads. The results confirm that function fusion not only minimizes latency but also maximizes efficiency, making it a robust solution for real-time, scalable serverless applications. This work contributes a practical framework for cold-start mitigation and lays the groundwork for future research in optimizing FaaS-based cloud architectures.</t>
  </si>
  <si>
    <t>Serverless Computing;Cold-Start;Panopticon;Function Fusion;Function-as-a-Service;Warm-Start</t>
  </si>
  <si>
    <t>Serverless computing;Delays;Optimization;Containers;Costs;Computational modeling;Real-time systems;Scalability;Predictive models;Computer architecture</t>
  </si>
  <si>
    <t>ChunkFunc: Dynamic SLO-Aware Configuration of Serverless Functions</t>
  </si>
  <si>
    <t>T. Pusztai; S. Nastic</t>
  </si>
  <si>
    <t>Serverless computing promises to be a cost effective form of on demand computing. To fully utilize its cost saving potential, workflows must be configured with the appropriate amount of resources to meet their response time Service Level Objective (SLO), while keeping costs at a minimum. Since determining and updating these configuration models manually is a nontrivial and error prone task, researchers have developed solutions for automatically finding configurations that meet the aforementioned requirements. However, our initial experiments show that even when following best practices and using state-of-the-art configuration tools, resources may still be considerably over- or underprovisioned, depending on the size of functionsâ€™ input payload. In this paper we present ChunkFunc, an SLO- and input data-aware framework for tuning serverless workflows. Our main contributions include: i) an SLO- and input size-aware function performance model for optimized configurations in serverless workflows, ii) ChunkFunc Profiler, an auto-tuned, Bayesian Optimization-guided profiling mechanism for profiling serverless functions with typical input data sizes to build a performance model, and iii) ChunkFunc Workflow Optimizer, which uses these models to determine an input size dependent configuration for each serverless function in a workflow to meet the SLO, while keeping costs to a minimum. We evaluate ChunkFunc on real-life serverless workflows and compare it to two state-of-the-art solutions, showing that it increases SLO adherence by a factor of 1.04 to 2.78, depending on the workflow, and reduces costs by up to 61% .</t>
  </si>
  <si>
    <t xml:space="preserve">Austrian Research Promotion Agency; RapidREC(grant numbers:903884); Austrian Internet Stiftung NetIdee(grant numbers:7442); </t>
  </si>
  <si>
    <t>Serverless workflows;serverless functions;configuration tuning;SLOs;profiling</t>
  </si>
  <si>
    <t>Costs;Data models;Time factors;Measurement;Tuning;Optimization;Monitoring;Memory management;Buildings;Bayes methods</t>
  </si>
  <si>
    <t>River Publishers Journals</t>
  </si>
  <si>
    <t>Journal of Web Engineering</t>
  </si>
  <si>
    <t>The Potential of Serverless Edge-Powered Islands for Web Development</t>
  </si>
  <si>
    <t>J. VepsÃ¤lÃ¤inen; P. Vuorimaa; A. Hellas</t>
  </si>
  <si>
    <t>Web developers face two significant challenges when developing their applications and websites: latency and payload size. Given that web services rely on servers, the related communication incurs a cost in terms of latency. In contrast, the payload passed to the client incurs a communication cost, not to mention the computational cost to the client. The concept of serverless edge computing, built on top of content delivery networks (CDNs), is an approach that has begun to gain the attention of web developers for its promise of lower latencies due to its efficiencies in communication thanks to globally distributed networks and replication. Islands architecture is a technical approach that addresses payload size by giving developers easy ways to defer and potentially even avoid the cost of loading content. Combined, these two approaches form edge-powered islands and, in this article, we examine how the combination can help to address these two notable costs web developers have to consider in their daily work. Our findings indicate that edge-powered islands can provide a way to introduce interactivity to otherwise static websites while wrapping dynamic portions of a page within islands to gain the benefits of static approaches in more dynamic contexts, such as storefronts. In addition, islands can provide loading benefits even for more application-like websites, such as social networks, and give web developers an additional control layer in their development work.</t>
  </si>
  <si>
    <t>1544-5976</t>
  </si>
  <si>
    <t>E-commerce;edge-powered islands;islands architecture;performance;serverless edge computing;web applications;web development;World Wide Web</t>
  </si>
  <si>
    <t>Costs;Social networking (online);Loading;Computer architecture;Service-oriented architecture;Web sites;Servers;Wrapping;Edge computing;Payloads</t>
  </si>
  <si>
    <t>REPFS: Reliability-Ensured Personalized Function Scheduling in Sustainable Serverless Edge Computing</t>
  </si>
  <si>
    <t>K. Cao; J. Weng</t>
  </si>
  <si>
    <t>In recent years, serverless edge computing has been widely employed in the deployments of Internet-of-things (IoT) applications. Despite considerable research efforts in this field, existing works fail to jointly consider essential factors such as energy, reliability, personalized user requirements, and stochastic application executions. This oversight results in an inefficient utilization of computation and communication resources within serverless edge computing networks, subsequently diminishing the profit of service providers and degrading the quality-of-experience (QoE) of end users. In this paper, we explore the problem of reliability-ensured personalized function scheduling (REPFS) to jointly optimize the profit of service providers and the holistic QoE of end users in sustainable serverless edge computing. A personality-driven user QoE prediction method is first designed to accurately estimate the QoE of individual end users with differentiated personality types. Afterward, a deterministic function scheduling policy is developed on the problem-specific augmented non-dominated sorting genetic algorithm II (PSA-NSGA-II). Given the inherent uncertainty of application executions, a stochastic function scheduling strategy that can be easily parallelized for modern multicore scheduler platforms is also devised to accelerate solution generation for stochastic applications. Experimental results show that our deterministic function scheduling policy achieves 15% performance enhancement compared with representative multiobjective evolutionary algorithms. Furthermore, our stochastic function scheduling strategy promotes the service profit by 78% and the holistic user QoE by 118% on average compared with the developed deterministic scheduling policy.</t>
  </si>
  <si>
    <t xml:space="preserve">National Natural Science Foundation of China(grant numbers:62102164); China Postdoctoral Science Foundation(grant numbers:2021T140272,2021M691240); Science and Technology Project of Guangzhou(grant numbers:202201010573); Fundamental Research Funds for the Central Universities(grant numbers:21621025); </t>
  </si>
  <si>
    <t>Personalized scheduling;reliability;serverless edge computing;stochastic Internet-of-Things (IoT) applications;sustainable energy</t>
  </si>
  <si>
    <t>Edge computing;Reliability;Quality of experience;Processor scheduling;Scheduling;Optimization;Job shop scheduling</t>
  </si>
  <si>
    <t>IEEE Journal of Selected Areas in Sensors</t>
  </si>
  <si>
    <t>MASTER: Machine Learning-Based Cold Start Latency Prediction Framework in Serverless Edge Computing Environments for Industry 4.0</t>
  </si>
  <si>
    <t>M. Golec; S. S. Gill; H. Wu; T. C. Can; M. Golec; O. Cetinkaya; F. Cuadrado; A. K. Parlikad; S. Uhlig</t>
  </si>
  <si>
    <t>The integration of serverless edge computing and the Industrial Internet of Things (IIoT) has the potential to optimize industrial production. However, cold start latency is one of the main challenges in this area, resulting in resource waste. To address this issue, we propose a new machine learning-based resource management framework called MASTER which utilizes an extreme gradient boosting (XGBoost) model to predict the cold start latency for Industry 4.0 applications for performance optimization. Furthermore, we created a new cold start dataset using an IIoT scenario (i.e. predictive maintenance) to validate the proposed MASTER framework in serverless edge computing environments. We have evaluated the performance of the MASTER framework using a real-world serverless platform, Google Cloud Platform for single-step prediction (SSP) and multiple-step prediction (MSP) operations and compared it with existing frameworks that used deep deterministic policy gradient (DDPG) and long short-term memory (LSTM) models. The experimental results show that the XGBoost-based resource management framework is the most successful model in predicting cold start with mean absolute percentage error (MAPE) values of 0.23 in SSP and 0.12 in MSP. It has been also identified that the Linear Regression model (utilized in the MASTER framework) has the least computational time (0.03 seconds) as compared to other deep learning and machine learning models considered in this work. Finally, we compare the energy consumption and $\text{CO}_{2}$ emissions of all models to emphasize resource awareness.</t>
  </si>
  <si>
    <t>2836-2071</t>
  </si>
  <si>
    <t xml:space="preserve">National Natural Science Foundation of China(grant numbers:62071327); Tianjin Science and Technology Planning(grant numbers:22ZYYYJC00020); Ministry of Education of the Turkish Republic; HE ACES Project(grant numbers:101093126); </t>
  </si>
  <si>
    <t>Cold start latency;edge computing;Industry 4.0;predictive maintenance;serverless computing</t>
  </si>
  <si>
    <t>Containers;Industrial Internet of Things;Edge computing;Fourth Industrial Revolution;Computational modeling;Predictive models;Production</t>
  </si>
  <si>
    <t>PLAYS: Minimizing DNN Inference Latency in Serverless Edge Cloud for Artificial Intelligence of Things</t>
  </si>
  <si>
    <t>H. Geng; D. Zeng; Y. Li; L. Gu; Q. Chen; P. Li</t>
  </si>
  <si>
    <t>Thanks to the capability of fine-grained resource allocation and fast task scheduling, serverless computing has been adopted into edge cloud to accommodate various applications, e.g., deep neural network (DNN) inference for Artificial Intelligence of Things (AIoT). In serverless edge cloud, the servers are started up on-demand. However, as a container-based architecture, the inherent sequential startup feature of container imposes high affection on the DNN inference performance in serverless edge clouds. In this article, we investigate the distributed DNN inference problem in serverless edge cloud with the consideration of such characteristics, aiming to eliminate the extra container startup time cost to minimize the DNN inference latency. We formulate this problem into a nonlinear optimization form and then linearize it into an integer programming problem, which is proved as NP-hard. To tackle the computation complexity, we propose a priority-based layer scheduling (PLAYS) algorithm. Extensive experiment results verify the effectiveness and the adaptability of our PLAYS algorithm in comparison with other state-of-art algorithms under several well known DNN models.</t>
  </si>
  <si>
    <t>10.1109/JIOT.2024.3443289</t>
  </si>
  <si>
    <t xml:space="preserve">Natural Science Foundation of China(grant numbers:62172375,62232011,62372200); Provincal Key Research and Development Program of Hubei(grant numbers:2023BAB065); CUG Scholar Scientific Research Funds at China University of Geosciences (Wuhan)(grant numbers:2022179); Japan Society for the Promotion of Science (JSPS) KAKENHI(grant numbers:24K02932); Japan Science and Technology Agency (JST) PRESTO(grant numbers:23828673); </t>
  </si>
  <si>
    <t>Artificial Intelligence of Things (AIoT);distributed Deep neural network (DNN) inference;serverless edge cloud;task scheduling</t>
  </si>
  <si>
    <t>Containers;Task analysis;Artificial neural networks;Internet of Things;Inference algorithms;Artificial intelligence;Computational modeling</t>
  </si>
  <si>
    <t>Enabling Serverless Deployment of Large-Scale AI Workloads</t>
  </si>
  <si>
    <t>A. Christidis; S. Moschoyiannis; C. -H. Hsu; R. Davies</t>
  </si>
  <si>
    <t>We propose a set of optimization techniques for transforming a generic AI codebase so that it can be successfully deployed to a restricted serverless environment, without compromising capability or performance. These involve (1) slimming the libraries and frameworks (e.g., pytorch) used, down to pieces pertaining to the solution; (2) dynamically loading pre-trained AI/ML models into local temporary storage, during serverless function invocation; (3) using separate frameworks for training and inference, with ONNX model formatting; and, (4) performance-oriented tuning for data storage and lookup. The techniques are illustrated via worked examples that have been deployed live on geospatial data from the transportation domain. This draws upon a real-world case study in intelligent transportation looking at on-demand, real-time predictions of flows of train movements across the UK rail network. Evaluation of the proposed techniques shows the response time, for varying volumes of queries involving prediction, to remain almost constant (at 50 ms), even as the database scales up to the 250M entries. The query response time is important in this context as the target is predicting train delays. It is even more important in a serverless environment due to the stringent constraints on serverless functions' runtime before timeout. The similarities of a serverless environment to other resource constrained environments (e.g., IoT, telecoms) means the techniques can be applied to a range of use cases.</t>
  </si>
  <si>
    <t xml:space="preserve">EIT Digital IVZW through the Real-Time Flow Project(grant numbers:18387â€“SGA201); EPSRC IAA Project AGELink(grant numbers:EP/R511791/1); National Natural Science Foundation of China(grant numbers:61872084); </t>
  </si>
  <si>
    <t>Intelligent transportation;predicting train delays;AWS;functions as-a-service;Lambda;NoSQL;serverless;resource-constrained;serverless codebase optimization;rail traffic big data</t>
  </si>
  <si>
    <t>Libraries;Load modeling;Computer architecture;Real-time systems;Predictive models;Optimization</t>
  </si>
  <si>
    <t>Object Proxy Patterns for Accelerating Distributed Applications</t>
  </si>
  <si>
    <t>J. G. Pauloski; V. Hayot-Sasson; L. Ward; A. Brace; A. Bauer; K. Chard; I. Foster</t>
  </si>
  <si>
    <t>Workflow and serverless frameworks have empowered new approaches to distributed application design by abstracting compute resources. However, their typically limited or one-size-fits-all support for advanced data flow patterns leaves optimization to the application programmerâ€”optimization that becomes more difficult as data become larger. The transparent object proxy, which provides wide-area references that can resolve to data regardless of location, has been demonstrated as an effective low-level building block in such situations. Here we propose three high-level proxy-based programming patternsâ€”distributed futures, streaming, and ownershipâ€”that make the power of the proxy pattern usable for more complex and dynamic distributed program structures. We motivate these patterns via careful review of application requirements and describe implementations of each pattern. We evaluate our implementations through a suite of benchmarks and by applying them in three meaningful scientific applications, in which we demonstrate substantial improvements in runtime, throughput, and memory usage.</t>
  </si>
  <si>
    <t xml:space="preserve">National Science Foundation(grant numbers:2004894); ExaWorks Project; ExaLearn Co-design Center of the Exascale Computing Project(grant numbers:17-SC-20-SC); collaborative effort of the U.S.; Department of Energy Office of Science and the National Nuclear Security Administration; Argonne Leadership Computing Facility (ALCF); DOE Office of Science User Facility supported(grant numbers:DE-AC02-06CH11357); National Science Foundation; </t>
  </si>
  <si>
    <t>Distributed computing;futures;memory management;open-source software;streaming</t>
  </si>
  <si>
    <t>Distributed databases;Genomics;Computational modeling;Production facilities;Engines;Connectors;Programming;Memory management;Load modeling;Complexity theory</t>
  </si>
  <si>
    <t>EBI-PAI: Toward an Efficient Edge-Based IoT Platform for Artificial Intelligence</t>
  </si>
  <si>
    <t>S. Yang; K. Xu; L. Cui; Z. Ming; Z. Chen; Z. Ming</t>
  </si>
  <si>
    <t>Edge computing, especially multiaccess edge computing, is seen as a promising technology to improve the Quality of user Experience (QoE) of many artificial intelligence (AI) applications in the evolution toward Internet-of-Things (IoT) infrastructure. However, the management and deployment of massive edge data centers bring new challenges for the current network. In this article, we propose a new edge-based IoT platform for AI (EBI-PAI), based on software-defined network (SDN) and serverless technology. EBI-PAI provides a unified service calling interface and schedules the resources automatically to satisfy the QoE requirements of users. To optimize performances during incremental deployment, we formulate the deployment problem, prove its complexity, and design heuristic algorithms to solve it. We implement EBI-PAI based on an opensource serverless project and deploy it in real networks. To evaluate EBI-PAI, we conduct comprehensive simulations based on the generated and real-world network topology, and real-world base station data set. The simulation results show that EBI-PAI can greatly improve QoE with the same budget and save the budget to achieve similar QoE. We finally carry out a case study with real user demands, and it further validates the simulation results.</t>
  </si>
  <si>
    <t xml:space="preserve">National Key Research and Development Plan of China(grant numbers:2018YFB1800302,2018YFB1800805); National Natural Science Foundation of China(grant numbers:61772345,61902258,61672358,61836005); Major Fundamental Research Project in the Science and Technology Plan of Shenzhen(grant numbers:JCYJ20190808142207420,GJHZ20190822095416463); Pearl River Young Scholars Funding of Shenzhen University; </t>
  </si>
  <si>
    <t>5G;incremental deployment;multiaccess edge computing (MEC)</t>
  </si>
  <si>
    <t>Servers;Edge computing;Quality of experience;Internet of Things;Data centers;Base stations;Delays</t>
  </si>
  <si>
    <t>IEEE Open Journal of the Communications Society</t>
  </si>
  <si>
    <t>DRACO: Decentralized Asynchronous Federated Learning Over Row-Stochastic Wireless Networks</t>
  </si>
  <si>
    <t>E. Jeong; M. Kountouris</t>
  </si>
  <si>
    <t>Emerging technologies and use cases, such as smart Internet of Things (IoT), Internet of Agents, and Edge AI, have generated significant interest in training neural networks over fully decentralized, serverless networks. A major obstacle in this context is ensuring stable convergence without imposing stringent assumptions, such as identical data distributions across devices or synchronized updates. In this paper, we introduce DRACO, a novel framework for decentralized asynchronous Stochastic Gradient Descent (SGD) over row-stochastic gossip wireless networks. Our approach leverages continuous communication, allowing edge devices to perform local training and exchange model updates along a continuous timeline, thereby eliminating the need for synchronized timing. Additionally, our algorithm decouples communication and computation schedules, enabling complete autonomy for all users while effectively addressing straggler issues. Through a thorough convergence analysis, we show that DRACO achieves high performance in decentralized optimization while maintaining low variance across users even without predefined scheduling policies. Numerical experiments further validate the effectiveness of our approach, demonstrating that controlling the maximum number of received messages per client significantly reduces redundant communication costs while maintaining robust learning performance.</t>
  </si>
  <si>
    <t>2644-125X</t>
  </si>
  <si>
    <t xml:space="preserve">Horizon Europe JU SNS Project ROBUST-6G(grant numbers:101139068); </t>
  </si>
  <si>
    <t>Collaborative intelligence;continuous time models;decentralized learning;asynchronous learning;federated learning;row-stochastic matrices;networked intelligent systems;peer-to-peer networks</t>
  </si>
  <si>
    <t>Training;Optimization;Stochastic processes;Directed graphs;Delays;Wireless networks;Schedules;Computational modeling;Synchronization;Internet of Things</t>
  </si>
  <si>
    <t>Boza, Edwin F.; Andrade, Xavier; Cedeno, Jorge; Murillo, Jorge; Aragon, Harold; Abad, Cristina L.; Abad, Andres G.</t>
  </si>
  <si>
    <t>On Implementing Autonomic Systems with a Serverless Computing Approach: The Case of Self-Partitioning Cloud Caches</t>
  </si>
  <si>
    <t>Computers</t>
  </si>
  <si>
    <t>The research community has made significant advances towards realizing self-tuning cloud caches; notwithstanding, existing products still require manual expert tuning to maximize performance. Cloud (software) caches are built to swiftly serve requests; thus, avoiding costly functionality additions not directly related to the request-serving control path is critical. We show that serverless computing cloud services can be leveraged to solve the complex optimization problems that arise during self-tuning loops and can be used to optimize cloud caches for free. To illustrate that our approach is feasible and useful, we implement SPREDS (Self-Partitioning REDiS), a modified version of Redis that optimizes memory management in the multi-instance Redis scenario. A cost analysis shows that the serverless computing approach can lead to significant cost savings: The cost of running the controller as a serverless microservice is 0.85% of the cost of the always-on alternative. Through this case study, we make a strong case for implementing the controller of autonomic systems using a serverless computing approach.</t>
  </si>
  <si>
    <t>MDPI</t>
  </si>
  <si>
    <t>Albayati, Ammar; Abdullah, Nor Fadzilah; Abu-Samah, Asma; Mutlag, Ammar Hussein; Nordin, Rosdiadee</t>
  </si>
  <si>
    <t>A Serverless Advanced Metering Infrastructure Based on Fog-Edge Computing for a Smart Grid: A Comparison Study for Energy Sector in Iraq</t>
  </si>
  <si>
    <t>Energies</t>
  </si>
  <si>
    <t>The development of the smart grid (SG) has the potential to bring significant improvements to the energy generation, transmission, and distribution sectors. Hence, adequate handling of fluctuating energy demands is required. This can only be achieved by implementing the concept of transactive energy. Transactive energy aims to optimize energy production, transmission, and distribution combined with next-generation hardware and software, making it a challenge for implementation at a national level, and to ensure the effective collaboration of energy exchange between consumers and producers, a serverless architecture based on functionality can make significant contributions to the smart grids advanced metering infrastructure (SG-AMI). In this paper, a scalable serverless SG-AMI architecture is proposed based on fog-edge computing, virtualization consideration, and Function as a service (FaaS) as a services model to increase the operational flexibility, increase the system performance, and reduce the total cost of ownership. The design was benchmarked against the Iraqi Ministry of Electricity (MOELC) proposed designs for the smart grid, and it was evaluated based on the MOELC traditional computing-design, and a related cloud computing-based design. The results show that our proposed design offers an improvement of 20% to 65% performance on network traffic load, latency, and time to respond, with a reduction of 50% to 67% on the total cost of ownership, lower power and cooling consumption compared to the SG design proposed by MOELC. From this paper, it can be observed that a robust roadmap for SG-AMI architecture can effectively contribute towards increasing the scalability and interoperability, automation, and standardization of the energy sector.</t>
  </si>
  <si>
    <t>Femminella, Mauro; Reali, Gianluca</t>
  </si>
  <si>
    <t>Comparison of Reinforcement Learning Algorithms for Edge Computing Applications Deployed by Serverless Technologies</t>
  </si>
  <si>
    <t>Algorithms</t>
  </si>
  <si>
    <t>Edge computing is one of the technological areas currently considered among the most promising for the implementation of many types of applications. In particular, IoT-type applications can benefit from reduced latency and better data protection. However, the price typically to be paid in order to benefit from the offered opportunities includes the need to use a reduced amount of resources compared to the traditional cloud environment. Indeed, it may happen that only one computing node can be used. In these situations, it is essential to introduce computing and memory resource management techniques that allow resources to be optimized while still guaranteeing acceptable performance, in terms of latency and probability of rejection. For this reason, the use of serverless technologies, managed by reinforcement learning algorithms, is an active area of research. In this paper, we explore and compare the performance of some machine learning algorithms for managing horizontal function autoscaling in a serverless edge computing system. In particular, we make use of open serverless technologies, deployed in a Kubernetes cluster, to experimentally fine-tune the performance of the algorithms. The results obtained allow both the understanding of some basic mechanisms typical of edge computing systems and related technologies that determine system performance and the guiding of configuration choices for systems in operation.</t>
  </si>
  <si>
    <t>Application of Proximal Policy Optimization for Resource Orchestration in Serverless Edge Computing</t>
  </si>
  <si>
    <t>Serverless computing is a new cloud computing model suitable for providing services in both large cloud and edge clusters. In edge clusters, the autoscaling functions play a key role on serverless platforms as the dynamic scaling of function instances can lead to reduced latency and efficient resource usage, both typical requirements of edge-hosted services. However, a badly configured scaling function can introduce unexpected latency due to so-called “cold start” events or service request losses. In this work, we focus on the optimization of resource-based autoscaling on OpenFaaS, the most-adopted open-source Kubernetes-based serverless platform, leveraging real-world serverless traffic traces. We resort to the reinforcement learning algorithm named Proximal Policy Optimization to dynamically configure the value of the Kubernetes Horizontal Pod Autoscaler, trained on real traffic. This was accomplished via a state space model able to take into account resource consumption, performance values, and time of day. In addition, the reward function definition promotes Service-Level Agreement (SLA) compliance. We evaluate the proposed agent, comparing its performance in terms of average latency, CPU usage, memory usage, and loss percentage with respect to the baseline system. The experimental results show the benefits provided by the proposed agent, obtaining a service time within the SLA while limiting resource consumption and service loss.</t>
  </si>
  <si>
    <t>Akour, Mohammed; Alenezi, Mamdouh</t>
  </si>
  <si>
    <t>Reducing Environmental Impact with Sustainable Serverless Computing</t>
  </si>
  <si>
    <t>Sustainability</t>
  </si>
  <si>
    <t>Serverless computing has emerged as a transformative paradigm in cloud computing, offering scalability, cost efficiency, and potential environmental benefits. By abstracting infrastructure management and enabling on-demand resource allocation, serverless computing minimizes idle resource consumption and reduces operational overhead. This paper critically examines the sustainability implications of serverless computing, evaluating its impact on energy efficiency, resource utilization, and carbon emissions through empirical studies and a survey of cloud professionals. Our findings indicate that serverless computing significantly reduces energy consumption by up to 70% and operational costs by up to 60%, reinforcing its role in green IT initiatives. However, real-world deployments face challenges such as cold-start latency and workload-dependent inefficiencies, which impact overall sustainability benefits. To address these challenges, we propose strategic recommendations, including fine-grained function decomposition, energy-efficient cloud provider selection, and AI-driven resource management. Additionally, we highlight discrepancies between empirical research and practitioner experiences, emphasizing the need for optimized architectures in order to fully harness the sustainability potential of serverless computing. This study provides a foundation for future research, particularly in integrating machine learning and AI-driven optimizations to enhance energy efficiency and performance in serverless environments.</t>
  </si>
  <si>
    <t>Journal Abbreviation</t>
  </si>
  <si>
    <t>Key</t>
  </si>
  <si>
    <t>Science Direct</t>
  </si>
  <si>
    <t>Future Generation Computer Systems</t>
  </si>
  <si>
    <t>Malawski, Maciej; Gajek, Adam; Zima, Adam; Balis, Bartosz; Figiela, Kamil</t>
  </si>
  <si>
    <t>Serverless execution of scientific workflows: Experiments with HyperFlow, AWS Lambda and Google Cloud Functions</t>
  </si>
  <si>
    <t>0167-739X</t>
  </si>
  <si>
    <t>10.1016/j.future.2017.10.029</t>
  </si>
  <si>
    <t>Scientific workflows consisting of a high number of interdependent tasks represent an important class of complex scientific applications. Recently, a new type of serverless infrastructures has emerged, represented by such services as Google Cloud Functions and AWS Lambda, also referred to as the Function-as-a-Service model. In this paper we take a look at such serverless infrastructures, which are designed mainly for processing background tasks of Web and Internet of Things applications, or event-driven stream processing. We evaluate their applicability to more compute- and data-intensive scientific workflows and discuss possible ways to repurpose serverless architectures for execution of scientific workflows. We have developed prototype workflow executor functions using AWS Lambda and Google Cloud Functions, coupled with the HyperFlow workflow engine. These functions can run workflow tasks in AWS and Google infrastructures, and feature such capabilities as data staging to/from S3 or Google Cloud Storage and execution of custom application binaries. We have successfully deployed and executed the Montage astronomy workflow, often used as a benchmark, and we report on initial results of its performance evaluation. Our findings indicate that the simple mode of operation makes this approach easy to use, although there are costs involved in preparing portable application binaries for execution in a remote environment. While our solution is an early prototype, we find the presented approach highly promising. We also discuss possible future steps related to execution of scientific workflows in serverless infrastructures. Finally, we perform a cost analysis and discuss implications with regard to resource management for scientific applications in general.</t>
  </si>
  <si>
    <t>KQU7REJD</t>
  </si>
  <si>
    <t>Computers &amp; Security</t>
  </si>
  <si>
    <t>0167-4048</t>
  </si>
  <si>
    <t>Journal of Parallel and Distributed Computing</t>
  </si>
  <si>
    <t>0743-7315</t>
  </si>
  <si>
    <t>Computer Communications</t>
  </si>
  <si>
    <t>0140-3664</t>
  </si>
  <si>
    <t>Li, Chunlin; Song, Mingyang; Zhang, Min; Luo, Youlong</t>
  </si>
  <si>
    <t>Effective replica management for improving reliability and availability in edge-cloud computing environment</t>
  </si>
  <si>
    <t>Journal of Systems and Software</t>
  </si>
  <si>
    <t>Scheuner, Joel; Leitner, Philipp</t>
  </si>
  <si>
    <t>Function-as-a-Service performance evaluation: A multivocal literature review</t>
  </si>
  <si>
    <t>0164-1212</t>
  </si>
  <si>
    <t>10.1016/j.jss.2020.110708</t>
  </si>
  <si>
    <t>Function-as-a-Service (FaaS) is one form of the serverless cloud computing paradigm and is defined through FaaS platforms (e.g., AWS Lambda) executing event-triggered code snippets (i.e., functions). Many studies that empirically evaluate the performance of such FaaS platforms have started to appear but we are currently lacking a comprehensive understanding of the overall domain. To address this gap, we conducted a multivocal literature review (MLR) covering 112 studies from academic (51) and grey (61) literature. We find that existing work mainly studies the AWS Lambda platform and focuses on micro-benchmarks using simple functions to measure CPU speed and FaaS platform overhead (i.e., container cold starts). Further, we discover a mismatch between academic and industrial sources on tested platform configurations, find that function triggers remain insufficiently studied, and identify HTTP API gateways and cloud storages as the most used external service integrations. Following existing guidelines on experimentation in cloud systems, we discover many flaws threatening the reproducibility of experiments presented in the surveyed studies. We conclude with a discussion of gaps in literature and highlight methodological suggestions that may serve to improve future FaaS performance evaluation studies.</t>
  </si>
  <si>
    <t>PG49UGV5</t>
  </si>
  <si>
    <t>Journal of Computational Science</t>
  </si>
  <si>
    <t>1877-7503</t>
  </si>
  <si>
    <t>Gesvindr, David; Gasior, Ondrej; Buhnova, Barbora</t>
  </si>
  <si>
    <t>Architecture design evaluation of PaaS cloud applications using generated prototypes: PaaSArch Cloud Prototyper tool</t>
  </si>
  <si>
    <t>Naranjo, Diana M.; Risco, Sebastián; de Alfonso, Carlos; Pérez, Alfonso; Blanquer, Ignacio; Moltó, Germán</t>
  </si>
  <si>
    <t>Accelerated serverless computing based on GPU virtualization</t>
  </si>
  <si>
    <t>10.1016/j.jpdc.2020.01.004</t>
  </si>
  <si>
    <t>This paper introduces a platform to support serverless computing for scalable event-driven data processing that features a multi-level elasticity approach combined with virtualization of GPUs. The platform supports the execution of applications based on Docker containers in response to file uploads to a data storage in order to perform the data processing in parallel. This is managed by an elastic Kubernetes cluster whose size automatically grows and shrinks depending on the number of files to be processed. To accelerate the processing time of each file, several approaches involving virtualized access to GPUs, either locally or remote, have been evaluated. A use case that involves the inference based on deep learning techniques on transthoracic echocardiography imaging has been carried out to assess the benefits and limitations of the platform. The results indicate that the combination of serverless computing and GPU virtualization introduce an efficient and cost-effective event-driven accelerated computing approach that can be applied for a wide variety of scientific applications.</t>
  </si>
  <si>
    <t>ZK583P8B</t>
  </si>
  <si>
    <t>Enes, Jonatan; Expósito, Roberto R.; Touriño, Juan</t>
  </si>
  <si>
    <t>Real-time resource scaling platform for Big Data workloads on serverless environments</t>
  </si>
  <si>
    <t>10.1016/j.future.2019.11.037</t>
  </si>
  <si>
    <t>The serverless execution paradigm is becoming an increasingly popular option when workloads are to be deployed in an abstracted way, more specifically, without specifying any infrastructure requirements. Currently, such workloads are typically comprised of small programs or even a series of single functions used as event triggers or to process a data stream. Other applications that may also fit on a serverless scenario are stateless services that may need to seamlessly scale in terms of resources, such as a web server. Although several commercial serverless services are available (e.g., Amazon Lambda), their use cases are mostly limited to the execution of functions or scripts that can be adapted to predefined templates or specifications. However, current research efforts point out that it is interesting for the serverless paradigm to evolve from single functions and support more flexible infrastructure units such as operating-system-level virtualization in the form of containers. In this paper we present a novel platform to automatically scale container resources in real time, while they are running, and without any need for reboots. This platform is evaluated using Big Data workloads, both batch and streaming, as representative examples of applications that could be initially regarded as unsuitable for the serverless paradigm considering the currently available services. The results show how our serverless platform can improve the CPU utilization by up to 77% with an execution time overhead of only 6%, while remaining scalable when using a 32-container cluster.</t>
  </si>
  <si>
    <t>NWDM53F6</t>
  </si>
  <si>
    <t>Applied Soft Computing</t>
  </si>
  <si>
    <t>Adhikari, Mainak; Amgoth, Tarachand; Srirama, Satish Narayana</t>
  </si>
  <si>
    <t>Multi-objective scheduling strategy for scientific workflows in cloud environment: A Firefly-based approach</t>
  </si>
  <si>
    <t>1568-4946</t>
  </si>
  <si>
    <t>Computer Networks</t>
  </si>
  <si>
    <t>Cicconetti, Claudio; Conti, Marco; Passarella, Andrea</t>
  </si>
  <si>
    <t>Uncoordinated access to serverless computing in MEC systems for IoT</t>
  </si>
  <si>
    <t>1389-1286</t>
  </si>
  <si>
    <t>10.1016/j.comnet.2020.107184</t>
  </si>
  <si>
    <t>Edge computing is a promising solution to enable low-latency Internet of Things (IoT) applications, by shifting computation from remote data centers to local devices, less powerful but closer to the end user devices. However, this creates the challenge on how to best assign clients to edge nodes offering compute capabilities. So far, two antithetical architectures are proposed: centralized resource orchestration or distributed overlay. In this work we explore a third way, called uncoordinated access, which consists in letting every device exploring multiple opportunities, to opportunistically embrace the heterogeneity of network and load conditions towards diverse edge nodes. In particular, our contribution is intended for emerging serverless IoT applications, which do not have a state on the edge nodes executing tasks. We model the proposed system as a set of M/M/1 queues and show that it achieves a smaller delay than single edge node allocation. Furthermore, we compare uncoordinated access with state-of-the-art centralized and distributed alternatives in testbed experiments under more realistic conditions. Based on the results, our proposed approach, which requires a tiny fraction of the complexity of the alternatives in both the device and network components, is very effective in using the network resources, while incurring only a small penalty in terms of increased compute load and high percentiles of delay.</t>
  </si>
  <si>
    <t>RWZVASWE</t>
  </si>
  <si>
    <t>Jauro, Fatsuma; Chiroma, Haruna; Gital, Abdulsalam Y.; Almutairi, Mubarak; Abdulhamid, Shafi’i M.; Abawajy, Jemal H.</t>
  </si>
  <si>
    <t>Deep learning architectures in emerging cloud computing architectures: Recent development, challenges and next research trend</t>
  </si>
  <si>
    <t>Journal of Network and Computer Applications</t>
  </si>
  <si>
    <t>1084-8045</t>
  </si>
  <si>
    <t>Characterizing task completion latencies in multi-point multi-quality fog computing systems</t>
  </si>
  <si>
    <t>10.1016/j.comnet.2020.107526</t>
  </si>
  <si>
    <t>Fog computing, which distributes computing resources to multiple locations between the Internet of Things (IoT) devices and the cloud, is attracting considerable attention from academia and industry. Yet, despite the excitement about the potential of fog computing, few comprehensive studies quantitatively characterizing the properties of fog computing architectures have been conducted. In this paper we examine the statistical properties of fog computing task completion latencies, which are important to understand to develop algorithms that match IoT nodes’ tasks with the best execution points within the fog computing substrate. Towards characterizing task completion latencies, we developed and deployed a set of benchmarks in 6 different locations, which included local nodes of different grades, conventional cloud computing services in two different regions, and Amazon Web Services (AWS) and Microsoft Azure serverless computing options. Using the developed infrastructure, we conducted a series of targeted experiments with a node invoking our benchmarks from different locations and in different conditions. The empirical study elucidated several important properties of task execution latencies, including latency variation across different execution points and execution options, and stability with respect to time. The study also demonstrated important properties of serverless execution options, and showed that statistical structure of computing latencies can be accurately characterized based on a small number (only 10–50) of latency samples. The complete measurement set we have captured as part of this study is publicly available.</t>
  </si>
  <si>
    <t>TES6ZZKZ</t>
  </si>
  <si>
    <t>Ad Hoc Networks</t>
  </si>
  <si>
    <t>1570-8705</t>
  </si>
  <si>
    <t>10.1016/j.adhoc.2019.102047</t>
  </si>
  <si>
    <t>Today’s globalized and highly competitive world market has broadened the spectrum of requirements in all the sectors of the agri-food industry. This paper focuses on the dairy industry, on its need to adapt to the current market by becoming more resource efficient, environment-friendly, transparent and secure. The Internet of Things (IoT), Edge Computing (EC) and Distributed Ledger Technologies (DLT) are all crucial to the achievement of those improvements because they allow to digitize all parts of the value chain, providing detailed information to the consumer on the final product and ensuring its safety and quality. In Smart Farming environments, IoT and DLT enable resource monitoring and traceability in the value chain, allowing producers to optimize processes, provide the origin of the produce and guarantee its quality to consumers. In comparison to a centralized cloud, EC manages the Big Data generated by IoT devices by processing them at the network edge, allowing for the implementation of services with shorter response times, and a higher Quality of Service (QoS) and security. This work presents a platform oriented to the application of IoT, Edge Computing, Artificial Intelligence and Blockchain techniques in Smart Farming environments, by means of the novel Global Edge Computing Architecture, and designed to monitor the state of dairy cattle and feed grain in real time, as well as ensure the traceability and sustainability of the different processes involved in production. The platform is deployed and tested in a real scenario on a dairy farm, demonstrating that the implementation of EC contributes to a reduction in data traffic and an improvement in the reliability in communications between the IoT-Edge layers and the Cloud.</t>
  </si>
  <si>
    <t>I67IL65W</t>
  </si>
  <si>
    <t>10.1016/j.future.2020.03.029</t>
  </si>
  <si>
    <t>The amount of data generated by millions of connected IoT sensors and devices is growing exponentially. The need to extract relevant information from this data in modern and future generation computing system, necessitates efficient data handling and processing platforms that can migrate such big data from one location to other locations seamlessly and securely, and can provide a way to preprocess and analyze that data before migrating to the final destination. Various data pipeline architectures have been proposed allowing the data administrator/user to handle the data migration operation efficiently. However, the modern data pipeline architectures do not offer built-in functionalities for ensuring data veracity, which includes data accuracy, trustworthiness and security. Furthermore, allowing the intermediate data to be processed, especially in the serverless computing environment, is becoming a cumbersome task. In order to fill this research gap, this paper introduces an efficient and novel data pipeline architecture, named as CCoDaMiC (Coherent Coordination of Data Migration and Computation), which brings both the data migration operation and its computation together into one place. This also ensures that the data delivered to the next destination/pipeline block is accurate and secure. The proposed framework is implemented in private OpenStack environment and Apache Nifi.</t>
  </si>
  <si>
    <t>9ZGEFISD</t>
  </si>
  <si>
    <t>Journal of Systems Architecture</t>
  </si>
  <si>
    <t>1383-7621</t>
  </si>
  <si>
    <t>10.1016/j.jss.2019.110432</t>
  </si>
  <si>
    <t>Service-oriented architectures and microservices define two ways of designing software with the aim of dividing an application into loosely-coupled services that communicate among each other. This translates into rapid development, where each service is developed and deployed by small teams, enabling continuous shipping of new features and fast-evolving applications. However, the underlying complexity of this type of architecture can hinder observability and maintenance by the user. In particular, identifying the root cause of an anomaly detected in the application can be a difficult and time-consuming task, considering the numerous services and connections to be examined. In this work, we present a root cause analysis framework, based on graph representations of these architectures. The graphs can be used to compare any anomalous situation that happens in the system with a library of anomalous graphs that serves as a knowledge base for the user troubleshooting those anomalies. We use the Grid’5000 testbed to deploy three different architectures and inject a set of anomalies. The results show how our graph-based approach is 19.41% more effective than a machine learning method that does not take into account the relationship between elements.</t>
  </si>
  <si>
    <t>7YG75QKJ</t>
  </si>
  <si>
    <t>Decision Support Systems</t>
  </si>
  <si>
    <t>Doss, Robin; Trujillo-Rasua, Rolando; Piramuthu, Selwyn</t>
  </si>
  <si>
    <t>Secure attribute-based search in RFID-based inventory control systems</t>
  </si>
  <si>
    <t>0167-9236</t>
  </si>
  <si>
    <t>10.1016/j.dss.2020.113270</t>
  </si>
  <si>
    <t>We develop a secure attribute-based search protocol for Radio Frequency Identification (RFID) systems. This protocol can be used to simultaneously identify groups of items that share a set of attribute values. To the best of our knowledge, this is the first such work with the potential to significantly enhance the security and intelligence of RFID-enabled applications in inventory control and supply chain management. The protocol is designed to be lightweight, suited for resource-constrained basic passive tags, and compliant with the Electronic Product Code (EPC) standards. This is achieved by exploiting the zero knowledge properties of quadratic residues. The security and privacy properties offered by the protocol are rigorously proven through formal verification.</t>
  </si>
  <si>
    <t>L2UP7P7P</t>
  </si>
  <si>
    <t>Sustainable Computing: Informatics and Systems</t>
  </si>
  <si>
    <t>2210-5379</t>
  </si>
  <si>
    <t>1877-0509</t>
  </si>
  <si>
    <t>Procedia Computer Science</t>
  </si>
  <si>
    <t>Rausch, Thomas; Rashed, Alexander; Dustdar, Schahram</t>
  </si>
  <si>
    <t>Optimized container scheduling for data-intensive serverless edge computing</t>
  </si>
  <si>
    <t>10.1016/j.future.2020.07.017</t>
  </si>
  <si>
    <t>Operating data-intensive applications on edge systems is challenging, due to the extreme workload and device heterogeneity, as well as the geographic dispersion of compute and storage infrastructure. Serverless computing has emerged as a compelling model to manage the complexity of such systems, by decoupling the underlying infrastructure and scaling mechanisms from applications. Although serverless platforms have reached a high level of maturity, we have found several limiting factors that inhibit their use in an edge setting. This paper presents a container scheduling system that enables such platforms to make efficient use of edge infrastructures. Our scheduler makes heuristic trade-offs between data and computation movement, and considers workload-specific compute requirements such as GPU acceleration. Furthermore, we present a method to automatically fine-tune the weights of scheduling constraints to optimize high-level operational objectives such as minimizing task execution time, uplink usage, or cloud execution cost. We implement a prototype that targets the container orchestration system Kubernetes, and deploy it on an edge testbed we have built. We evaluate our system with trace-driven simulations in different infrastructure scenarios, using traces generated from running representative workloads on our testbed. Our results show that (a) our scheduler significantly improves the quality of task placement compared to the state-of-the-art scheduler of Kubernetes, and (b) our method for fine-tuning scheduling parameters helps significantly in meeting operational goals.</t>
  </si>
  <si>
    <t>AHAFX7SA</t>
  </si>
  <si>
    <t>International Journal of Electrical Power &amp; Energy Systems</t>
  </si>
  <si>
    <t>Zhang, Song; Luo, Xiaochuan; Litvinov, Eugene</t>
  </si>
  <si>
    <t>Serverless computing for cloud-based power grid emergency generation dispatch</t>
  </si>
  <si>
    <t>0142-0615</t>
  </si>
  <si>
    <t>10.1016/j.ijepes.2020.106366</t>
  </si>
  <si>
    <t>Operating a modern power grid reliably in case of SCADA/EMS failure or amid difficult times like COVID-19 pandemic is a challenging task for grid operators. In [11], a PMU-based emergency generation dispatch scheme has been proposed to help the system operators with the supply and demand balancing; however, its realization highly relies on the control center infrastructure for computing and communication. This work, rather than using the on-premises server and dispatch communication system, proposes and implements a cloud-centric serverless architecture to ensure the operation continuity regardless of local infrastructure’s availability and accessibility. Through its prototype implementation and evaluation at ISO New England, the solution has demonstrated two major advantages. Firstly, the cloud infrastructure is independent and fault-tolerant, providing grid monitoring and control capability even when EMS loses the corresponding functionality or when operators need to work remotely away from the control center. Secondly, the overall design is event-driven using serverless cloud services in response to the SCADA/EMS failure event. Thanks to “serverless”, the burden of the server provisioning and maintenance can be avoided from the user side. The cost of using public cloud services for this solution is extremely low since it is architected and implemented based on the event-driven Function-as-a-Service (FaaS) model. This work also develops a comprehensive cyber security mechanism to comply with critical infrastructure requirements for the power grid, which can serve as an exemplary framework for other grid operators to secure their cloud services.</t>
  </si>
  <si>
    <t>BRQ25XI8</t>
  </si>
  <si>
    <t>Arjona, Aitor; López, Pedro García; Sampé, Josep; Slominski, Aleksander; Villard, Lionel</t>
  </si>
  <si>
    <t>Triggerflow: Trigger-based orchestration of serverless workflows</t>
  </si>
  <si>
    <t>10.1016/j.future.2021.06.004</t>
  </si>
  <si>
    <t>As more applications are being moved to the Cloud thanks to serverless computing, it is increasingly necessary to support the native life cycle execution of those applications in the data center. But existing cloud orchestration systems either focus on short-running workflows (like IBM Composer or Amazon Step Functions Express Workflows) or impose considerable overheads for synchronizing massively parallel jobs (Azure Durable Functions, Amazon Step Functions). None of them are open systems enabling extensible interception and optimization of custom workflows. We present Triggerflow: an extensible Trigger-based Orchestration architecture for serverless workflows. We demonstrate that Triggerflow is a novel serverless building block capable of constructing different reactive orchestrators (State Machines, Directed Acyclic Graphs, Workflow as code, Federated Learning orchestrator). We also validate that it can support high-volume event processing workloads, auto-scale on demand with scale down to zero when not used, and transparently guarantee fault tolerance and efficient resource usage when orchestrating long running scientific workflows.</t>
  </si>
  <si>
    <t>MBLZNPCK</t>
  </si>
  <si>
    <t>Rauback Aubin, Mateus; da Rosa Righi, Rodrigo; Valiati, Victor Hugo; André da Costa, Cristiano; Stoffel Antunes, Rodolfo; Galante, Guilherme</t>
  </si>
  <si>
    <t>Helastic: On combining threshold-based and Serverless elasticity approaches for optimizing the execution of bioinformatics applications</t>
  </si>
  <si>
    <t>10.1016/j.jocs.2021.101407</t>
  </si>
  <si>
    <t>Recent advances in Next Generation Gene Sequencing (NGS) technologies brought an abundance of bioinformatics and phylogenetics data. The available datasets create new opportunities for studies about the genetic relationships among organisms, which previously relied mainly on manual observations. The state-of-the-art shows that the software employed in this area is based on technologically outdated solutions with ample space for adopting modern computing techniques such as cloud resource elasticity and dynamic load balancing. This article aims to fill this gap with the proposal of Helastic, a model to explore cloud elasticity on jModelTest. The latter is a widely used software for performing statistical selection of nucleotide replacement models in phylogenetic analyzes. Helastic’s contributions appear in a dual elasticity layer that combines the traditional threshold-based, reactive approach with Serverless (also referred to in the literature as Function-as-a-Service, or FaaS). Design decisions include interoperability as a requirement, enabling existing jModelTest applications to benefit from Helastic without significant code changes. We evaluate our proposal through a prototype, which was tested on both elastic and non-elastic scenarios. Data regarding execution time and resource usage are presented in this article. Results demonstrate our solution’s feasibility and the benefits of working with a dual-elasticity approach rather than a single resource rearrangement technique.</t>
  </si>
  <si>
    <t>MRUZ7KBC</t>
  </si>
  <si>
    <t>10.1016/j.cose.2020.102124</t>
  </si>
  <si>
    <t>Efficient change control and configuration management is imperative for addressing the emerging security threats in cloud infrastructure. These threats majorly exploit misconfiguration vulnerabilities e.g. excessive permissions, disabled logging features and publicly accessible cloud storage buckets. Traditional security tools and mechanisms are unable to effectively and continuously track changes in cloud infrastructure owing to transience and unpredictability of cloud events. Therefore, novel tools that are proactive, agile and continuous are imperative. This article proposes CSBAuditor, a novel cloud security system that continuously monitors cloud infrastructure, to detect malicious activities and unauthorized changes. CSBAuditor leverages two concepts: state transition analysis and reconciler pattern to overcome the aforementioned security issues. Furthermore, security metrics are used to compute severity scores for detected vulnerabilities using a novel scoring system: Cloud Security Scoring System. CSBAuditor has been evaluated using various strategies including security chaos engineering (fault injection) strategies on Amazon Web Services and Google Cloud Platform. CSBAuditor effectively detects misconfigurations in real-time with a detection rate of over 98%. Also, the performance overhead is within acceptable limits.</t>
  </si>
  <si>
    <t>CQY826EU</t>
  </si>
  <si>
    <t>10.1016/j.future.2021.06.005</t>
  </si>
  <si>
    <t>Serverless computing has seen a myriad of work exploring its potential. Some systems tackle Function-as-a-Service (FaaS) properties on automatic elasticity and scale to run highly-parallel computing jobs. However, they focus on specific platforms and convey that their ideas can be extrapolated to any FaaS runtime. An important question arises: do all FaaS platforms fit parallel computations? In this paper, we argue that not all of them provide the necessary means to host highly-parallel applications. To validate our hypothesis, we create a comparative framework and categorize the architectures of four cloud FaaS offerings, emphasizing parallel performance. We attest and extend this description with an empirical experiment that consists in plotting in deep detail the evolution of a parallel computing job on each service. The analysis of our results evinces that FaaS is not inherently good for parallel computations and architectural differences across platforms are decisive to categorize their performance. A key insight is the importance of virtualization technologies and the scheduling approach of FaaS platforms. Parallelism improves with lighter virtualization and proactive scheduling due to finer resource allocation and faster elasticity. This causes some platforms like AWS and IBM to perform well for highly-parallel computations, while others such as Azure present difficulties to achieve the required parallelism degree. Consequently, the information in this paper becomes of special interest to help users choose the most adequate infrastructure for their parallel applications.</t>
  </si>
  <si>
    <t>IUV2XPJQ</t>
  </si>
  <si>
    <t>Ristov, Sasko; Pedratscher, Stefan; Fahringer, Thomas</t>
  </si>
  <si>
    <t>AFCL: An Abstract Function Choreography Language for serverless workflow specification</t>
  </si>
  <si>
    <t>10.1016/j.future.2020.08.012</t>
  </si>
  <si>
    <t>Serverless workflow applications or function choreographies (FCs), which connect serverless functions by data- and control-flow, have gained considerable momentum recently to create more sophisticated applications as part of Function-as-a-Service (FaaS) platforms. Initial experimental analysis of the current support for FCs uncovered important weaknesses, including provider lock-in, and limited support for important data-flow and control-flow constructs. To overcome some of these weaknesses, we introduce the Abstract Function Choreography Language (AFCL) for describing FCs at a high-level of abstraction, which abstracts the function implementations from the developer. AFCL is a YAML-based language that supports a rich set of constructs to express advanced control-flow (e.g. parallelFor loops, parallel sections, dynamic loop iterations counts) and data-flow (e.g multiple input and output parameters of functions, DAG-based data-flow). We introduce data collections which can be distributed to loop iterations and parallel sections that may substantially reduce the delays for function invocations due to reduced data transfers between functions. We also support asynchronous functions to avoid delays due to blocking functions. AFCL supports properties (e.g. expected size of function input data) and constraints (e.g. minimize execution time) for the user to optionally provide hints about the behavior of functions and FCs and to control the optimization by the underlying execution environment. We implemented a prototype AFCL environment that supports AFCL as input language with multiple backends (AWS Lambda and IBM Cloud Functions) thus avoiding provider lock-in which is a common problem in serverless computing. We created two realistic FCs from two different domains and encoded them with AWS Step Functions, IBM Composer and AFCL. Experimental results demonstrate that our current implementation of the AFCL environment substantially outperforms AWS Step Functions and IBM Composer in terms of development effort, economic costs, and makespan.</t>
  </si>
  <si>
    <t>EZZVTTS4</t>
  </si>
  <si>
    <t>Energy and AI</t>
  </si>
  <si>
    <t>2666-5468</t>
  </si>
  <si>
    <t>10.1016/j.egyai.2020.100042</t>
  </si>
  <si>
    <t>We pose and study a scheduling problem for an electric load to develop an Internet of Things (IoT) control system for power appliances, which takes advantage of real-time dynamic energy pricing. Using historical pricing data from a large U.S. power supplier, we study and compare several dynamic scheduling policies, which can be implemented in a smart home to activate a major appliance (dishwasher, washing machine, clothes dryer) at an optimal time of the day, to minimize electricity costs. We formulate our scheduling task as a supervised machine learning classification problem which activates the load during one of two preferred time bins. The features used in the machine learning problem are hourly market, spot and day-ahead prices along with delayed label of the prior day. We find that boosting tree-based algorithms outperform any other classification approach with measurable reduction of energy costs over certain types of naive and static policies. We observe that the delayed label has most predictive power across features, followed, on average, by spot, hourly market, and day-ahead energy prices. We further discuss implementation issues using a micro controller system coupled with cloud-based serverless computing and dynamic data storage. Our test system includes an interactive voice interface via an intelligent personal assistant.</t>
  </si>
  <si>
    <t>58A8SKEX</t>
  </si>
  <si>
    <t>Karabey Aksakalli, Işıl; Çelik, Turgay; Can, Ahmet Burak; Teki̇nerdoğan, Bedir</t>
  </si>
  <si>
    <t>Deployment and communication patterns in microservice architectures: A systematic literature review</t>
  </si>
  <si>
    <t>10.1016/j.jss.2021.111014</t>
  </si>
  <si>
    <t>Context: Microservice is an architectural style that separates large systems into small functional units to provide better modularity. A key challenge of microservice architecture design frequently discussed in the literature is the identification and decomposition of the service modules. Besides this, two other key challenges can be identified, including the deployment of the modules on the corresponding execution platform, and adopted communication patterns. Objective: This study aims to identify and describe the reported deployment approaches, and the communication platforms for microservices in the current literature. Furthermore, we aim to describe the identified obstacles of these approaches as well as the corresponding research directions. Method: A systematic literature review (SLR) is conducted using a multiphase study selection process in which we reviewed a total of 239 papers. Among these, we selected 38 of them as primary studies related to the described research questions. Results: Based on our study, we could identify three types of deployment approaches and seven different communication patterns. Moreover, we have identified eight challenges related to the deployment and six challenges related to the communication concerns. Conclusion: Our study shows that in addition to the identification of modules, the deployment and communication approaches are equally crucial for a successful application of the microservice architecture style. Various deployment approaches and communication patterns appear to be useful for different contexts. The identified research directions in the literature study show that still more research is needed to cope with the current challenges.</t>
  </si>
  <si>
    <t>6KGWHDCT</t>
  </si>
  <si>
    <t>Yussupov, Vladimir; Soldani, Jacopo; Breitenbücher, Uwe; Brogi, Antonio; Leymann, Frank</t>
  </si>
  <si>
    <t>FaaSten your decisions: A classification framework and technology review of function-as-a-Service platforms</t>
  </si>
  <si>
    <t>10.1016/j.jss.2021.110906</t>
  </si>
  <si>
    <t>Function-as-a-Service (FaaS) is a cloud service model enabling developers to offload event-driven executable snippets of code. The execution and management of such functions becomes a FaaS provider’s responsibility, therein included their on-demand provisioning and automatic scaling. Key enablers for this cloud service model are FaaS platforms, e.g., AWS Lambda, Microsoft Azure Functions, or OpenFaaS. At the same time, the choice of the most appropriate FaaS platform for deploying and running a serverless application is not trivial, as various organizational and technical aspects have to be taken into account. In this work, we present (i) a FaaS platform classification framework derived using a multivocal review and (ii) a technology review of the ten most prominent FaaS platforms, based on the proposed classification framework. We also present a FaaS platform selection support system, called FaaStener, which can help researchers and practitioners to choose the FaaS platform most suited for their requirements.</t>
  </si>
  <si>
    <t>E6N4HLXH</t>
  </si>
  <si>
    <t>Liu, Jianchun; Xu, Hongli; Xu, Yang; Ma, Zhenguo; Wang, Zhiyuan; Qian, Chen; Huang, He</t>
  </si>
  <si>
    <t>Communication-efficient asynchronous federated learning in resource-constrained edge computing</t>
  </si>
  <si>
    <t>Nouar, Nour el houda; Yangui, Sami; Faci, Noura; Drira, Khalil; Tazi, Saïd</t>
  </si>
  <si>
    <t>A Semantic virtualized network functions description and discovery model</t>
  </si>
  <si>
    <t>Castellanos, Camilo; Varela, Carlos A.; Correal, Dario</t>
  </si>
  <si>
    <t>ACCORDANT: A domain specific-model and DevOps approach for big data analytics architectures</t>
  </si>
  <si>
    <t>Knowledge-Based Systems</t>
  </si>
  <si>
    <t>0950-7051</t>
  </si>
  <si>
    <t>10.1016/j.knosys.2021.106775</t>
  </si>
  <si>
    <t>Federated learning is a set-up in which multiple clients collaborate to solve machine learning problems, which is under the coordination of a central aggregator. This setting also allows the training data decentralized to ensure the data privacy of each device. Federated learning adheres to two major ideas: local computing and model transmission, which reduces some systematic privacy risks and costs brought by traditional centralized machine learning methods. The original data of the client is stored locally and cannot be exchanged or migrated. With the application of federated learning, each device uses local data for local training, then uploads the model to the server for aggregation, and finally the server sends the model update to the participants to achieve the learning goal. To provide a comprehensive survey and facilitate the potential research of this area, we systematically introduce the existing works of federated learning from five aspects: data partitioning, privacy mechanism, machine learning model, communication architecture and systems heterogeneity. Then, we sort out the current challenges and future research directions of federated learning. Finally, we summarize the characteristics of existing federated learning, and analyze the current practical application of federated learning.</t>
  </si>
  <si>
    <t>UAV9MFK7</t>
  </si>
  <si>
    <t>Pervasive and Mobile Computing</t>
  </si>
  <si>
    <t>1574-1192</t>
  </si>
  <si>
    <t>4th International Conference on Innovative Data Communication Technology and Application</t>
  </si>
  <si>
    <t>Jefferson, Steve; Chelliah, Pethuru; Surianarayanan, Chellammal</t>
  </si>
  <si>
    <t>A Resource-optimized and Accelerated Sentiment Analysis Method using Serverless Computing</t>
  </si>
  <si>
    <t>10.1016/j.procs.2022.12.004</t>
  </si>
  <si>
    <t>Serverless computing is being touted as one of the promising and potential computing paradigms for the future. It clearly represents a deeper automation in information technology (IT) operations. Application developers can get server resources easily and quickly to run their applications and services without bothering about setting up server infrastructure and its sustenance. Application scalability is being met through the infrastructure elasticity. The faster maturity and stability of the containerization aspect has led to the success of the serverless paradigm. With serverless flourishing, the adoption of function as a service (FaaS) is catching up fast. A user request or any noteworthy event can trigger a request to this function to be astutely serviced through the serverless phenomenon. In this paper, we have explained how we are able to optimally use the power of serverless computing to bring forth a new resource-constrained and accelerated sentiment analysis method.</t>
  </si>
  <si>
    <t>M758X65T</t>
  </si>
  <si>
    <t>Eismann, Simon; Costa, Diego Elias; Liao, Lizhi; Bezemer, Cor-Paul; Shang, Weiyi; van Hoorn, André; Kounev, Samuel</t>
  </si>
  <si>
    <t>A case study on the stability of performance tests for serverless applications</t>
  </si>
  <si>
    <t>10.1016/j.jss.2022.111294</t>
  </si>
  <si>
    <t>Context: While in serverless computing, application resource management and operational concerns are generally delegated to the cloud provider, ensuring that serverless applications meet their performance requirements is still a responsibility of the developers. Performance testing is a commonly used performance assessment practice; however, it traditionally requires visibility of the resource environment. Objective: In this study, we investigate whether performance tests of serverless applications are stable, that is, if their results are reproducible, and what implications the serverless paradigm has for performance tests. Method: We conduct a case study where we collect two datasets of performance test results: (a) repetitions of performance tests for varying memory size and load intensities and (b) three repetitions of the same performance test every day for ten months. Results: We find that performance tests of serverless applications are comparatively stable if conducted on the same day. However, we also observe short-term performance variations and frequent long-term performance changes. Conclusion: Performance tests for serverless applications can be stable; however, the serverless model impacts the planning, execution, and analysis of performance tests.</t>
  </si>
  <si>
    <t>359KNXC4</t>
  </si>
  <si>
    <t>High-Confidence Computing</t>
  </si>
  <si>
    <t>Sethunath, Meenakshi; Peng, Yang</t>
  </si>
  <si>
    <t>A joint function warm-up and request routing scheme for performing confident serverless computing</t>
  </si>
  <si>
    <t>2667-2952</t>
  </si>
  <si>
    <t>10.1016/j.hcc.2022.100071</t>
  </si>
  <si>
    <t>Serverless computing has become increasingly popular recently due to its cost efficiency and flexibility. However, running serverless computing functions in the cloud can incur high end-to-end service latency and operational costs. Running them on edge servers may significantly reduce service latency but is limited by computing power and memory availability. Given the limitations of cloud and edge environments for performing serverless computing, this paper proposes a joint function warm-up and request routing scheme to perform serverless computing functions on edge and cloud collaboratively. The key idea of the new scheme is to maximize the hit ratio of serverless computing requests, thereby reducing the cold-start latency that dominates the overall serving latency. This scheme explicitly considers allocating server memory and operation budget for executing concurrent requests during the scheduling. The proposed scheme has been evaluated through extensive simulations. Its effectiveness has been proved by comparison with the upper-bound results.</t>
  </si>
  <si>
    <t>HNB79WNF</t>
  </si>
  <si>
    <t>Sabbioni, Andrea; Rosa, Lorenzo; Bujari, Armir; Foschini, Luca; Corradi, Antonio</t>
  </si>
  <si>
    <t>DIFFUSE: A DIstributed and decentralized platForm enabling Function composition in Serverless Environments</t>
  </si>
  <si>
    <t>10.1016/j.comnet.2022.108993</t>
  </si>
  <si>
    <t>Serverless computing is an emerging proposition in the cloud offering landscape that promotes a higher level of abstraction, further decoupling software operations from the underlying hardware. Often recognized as an economically driven computational approach, the serverless model relies on the execution of short-lived stateless functions, enabling a fine-grained accounting and control of resources. In this context, function composition represents an appealing feature, allowing the composition of two or more functions to create tailored processing pipelines, incentivizing modularity and reusability of functions, while paving the way to application-specific run-time optimizations. This work presents DIFFUSE: a DIstributed and decentralized platForm enabling Function composition in Serverless Environments. DIFFUSE embodies an innovative infrastructural support, enabling the efficient and transparent composition of functions by relying on pluggable middleware support, serving as a conveyor of messages among the platform components. Broadening the deployment spectrum of our proposal, we assess different middleware solutions, each presenting distinct delivery profiles, evidencing the tradeoffs that emerge.</t>
  </si>
  <si>
    <t>KDFX99I5</t>
  </si>
  <si>
    <t>Hussain, Mehboob; Wei, Lian-Fu; Abbas, Fakhar; Rehman, Amir; Ali, Muqadar; Lakhan, Abdullah</t>
  </si>
  <si>
    <t>A multi-objective quantum-inspired genetic algorithm for workflow healthcare application scheduling with hard and soft deadline constraints in hybrid clouds</t>
  </si>
  <si>
    <t>Computers and Electrical Engineering</t>
  </si>
  <si>
    <t>0045-7906</t>
  </si>
  <si>
    <t>Xu, Jia; Ding, Ran; Liu, Xiao; Li, Xuejun; Grundy, John; Yang, Yun</t>
  </si>
  <si>
    <t>EdgeWorkflow: One click to test and deploy your workflow applications to the edge</t>
  </si>
  <si>
    <t>Information Systems</t>
  </si>
  <si>
    <t>de Heus, Martijn; Psarakis, Kyriakos; Fragkoulis, Marios; Katsifodimos, Asterios</t>
  </si>
  <si>
    <t>Transactions across serverless functions leveraging stateful dataflows</t>
  </si>
  <si>
    <t>0306-4379</t>
  </si>
  <si>
    <t>10.1016/j.is.2022.102015</t>
  </si>
  <si>
    <t>Serverless computing is currently the fastest-growing cloud services segment. The most prominent serverless offering is Function-as-a-Service (FaaS), where users write functions and the cloud automates deployment, maintenance, and scalability. Although FaaS is a good fit for executing stateless functions, it does not adequately support stateful constructs like microservices and scalable, low-latency cloud applications. Recently, there have been multiple attempts to add first-class support for state in FaaS systems, such as Microsoft Orleans, Azure Durable Functions, or Beldi. These approaches execute business code inside stateless functions, handing over their state to an external database. In contrast, approaches such as Apache Flink’s StateFun follow a different design: a dataflow system such as Apache Flink handles all state management, messaging, and checkpointing by executing a stateful dataflow graph providing exactly-once state processing guarantees. This design relieves programmers from having to “pollute” their business logic with distributed systems error checking, management, and mitigation. Although programmers can easily develop applications without worrying about messaging and state management, executing transactions across stateful functions remains an open problem. In this paper, we introduce a programming model and implementation for transaction orchestration of stateful serverless functions. Our programming model supports serializable distributed transactions with two-phase commit, as well as eventually consistent workflows with Sagas. We design and implement our programming model on Apache Flink StateFun to leverage Flink’s exactly-once processing and state management guarantees. Our experiments show that the approach of building transactional systems on top of dataflow graphs can achieve very high throughput, but with latency overhead due to checkpointing mechanism guaranteeing the exactly-once processing. We compare our approach to Beldi that implements two-phase commit on AWS lambda functions backed by DynamoDB for state management, as well as an implementation of a system that makes use of CockroachDB as its backend.</t>
  </si>
  <si>
    <t>HHWUT3Z7</t>
  </si>
  <si>
    <t>Chen, Yu; Tong, Wei; Feng, Dan; Wang, Zike</t>
  </si>
  <si>
    <t>Zuk, Pawel; Rzadca, Krzysztof</t>
  </si>
  <si>
    <t>Reducing response latency of composite functions-as-a-service through scheduling</t>
  </si>
  <si>
    <t>10.1016/j.jpdc.2022.04.011</t>
  </si>
  <si>
    <t>In Function-as-a-Service (FaaS) clouds, customers deploy to cloud individual functions, in contrast to complete virtual machines (IaaS) or Linux containers (PaaS). FaaS offerings are available in the largest public clouds (Amazon Lambda, Google Cloud Functions, Azure Serverless); there are also popular open-source implementations (Apache OpenWhisk) with commercial offerings (Adobe I/O Runtime, IBM Cloud Functions). A recent addition to FaaS is the ability to compose functions: a function may call another functions, which, in turn, may call yet another function — forming a directed acyclic graph (DAG) of invocations. From the perspective of the infrastructure, a composed function is less opaque than a virtual machine or a container. We show that this additional information about the internal structure of the function enables the infrastructure provider to reduce the response latency. In particular, knowing the successors of a function in a DAG, the infrastructure can schedule these future invocations along with necessary preparation of environments. We model resource management in FaaS as a scheduling problem combining (1) sequencing of invocations; (2) deploying execution environments on machines; and (3) allocating invocations to deployed environments. For each aspect, we propose heuristics that employ FaaS-specific features. We explore their performance by simulation on a range of synthetic workloads and on workloads inspired by trace from existing system. Our results show that if the setup times are long compared to invocation times, algorithms that use information about the composition of functions consistently outperform greedy, myopic algorithms, leading to significant decrease in response latency.</t>
  </si>
  <si>
    <t>ZM7LN3FU</t>
  </si>
  <si>
    <t>Ivanovic, Milos; Simic, Visnja</t>
  </si>
  <si>
    <t>Efficient evolutionary optimization using predictive auto-scaling in containerized environment</t>
  </si>
  <si>
    <t>Workload-aware storage policies for cloud object storage</t>
  </si>
  <si>
    <t>Awad, Mirna; Kara, Nadjia; Leivadeas, Aris</t>
  </si>
  <si>
    <t>Utilization prediction-based VM consolidation approach</t>
  </si>
  <si>
    <t>10.1016/j.future.2022.04.021</t>
  </si>
  <si>
    <t>Porting existing monoliths to the Function-as-a-Service (FaaS) (FaaSification) can be very challenging for software developers due to different architectural styles. For a successful porting, developers need to resolve various dependencies, such as method invocations of external packages or user-defined codes, as well as global and local variables used in and after the code block that should be faasified. To bridge the gap and automatize FaaSification, this paper introduces M2FaaS, a FaaSifier that automatically converts a Node.js monolith into a hybrid by faasifying annotated code blocks as serverless functions on multiple FaaS providers. M2FaaS is a novel FaaSifier that resolves many challenges for the resulting monolith to work properly after the FaaSification. Developers may annotate all dependencies that need to be resolved for the generated functions to run properly and specify variables that should be returned by the function to the monolith because they are used later in the monolith. Moreover, M2FaaS is the first FaaSifier that faasifies arbitrary code blocks. The current M2FaaS prototype supports FaaSification of individual functions on two FaaS providers, AWS Lambda and IBM Cloud Functions. Finally, M2FaaS introduces an optional annotation for alternative functions to be invoked in case the primary faasified function fails. The resulting hybrid application invokes the automatically deployed serverless functions, while the original code remains executable. Experiments with four complementary monoliths demonstrate that M2FaaS outperforms state-of-the-art FaaSifiers in terms of development effort by up to 73.3%. Moreover, with the fault tolerance support, M2FaaS finishes all submitted functions, thereby achieving by 18.5% higher throughput than the other FaaSifiers.</t>
  </si>
  <si>
    <t>G9ND94ZC</t>
  </si>
  <si>
    <t>Wang, Weilong; Wang, Yingjie; Huang, Yan; Mu, Chunxiao; Sun, Zice; Tong, Xiangrong; Cai, Zhipeng</t>
  </si>
  <si>
    <t>Privacy protection federated learning system based on blockchain and edge computing in mobile crowdsourcing</t>
  </si>
  <si>
    <t>10.1016/j.jnca.2022.103354</t>
  </si>
  <si>
    <t>Fog computing is an emerging paradigm that aims to meet the increasing computation demands arising from the billions of devices connected to the Internet. Offloading services of an application from the Cloud to the edge of the network can improve the overall latency of the application since it can process data closer to user devices. Diverse Fog nodes ranging from Wi-Fi routers to mini-clouds with varying resource capabilities makes it challenging to determine which services of an application need to be offloaded. In this paper, a context-aware mechanism for distributing applications across the Cloud and the Fog is proposed. The mechanism dynamically generates (re)deployment plans for the application to maximise the performance efficiency of the application by taking operational conditions, such as hardware utilisation and network state, and running costs into account. The mechanism relies on deep Q-networks to generate a distribution plan without prior knowledge of the available resources on the Fog node, the network condition, and the application. The feasibility of the proposed context-aware distribution mechanism is demonstrated on two use-cases, namely a face detection application and a location-based mobile game. The benefits are increased utility of dynamic distribution by 50% and 20% for the two use-cases respectively when compared to a static distribution approach used in existing research.</t>
  </si>
  <si>
    <t>BJ5MVNDL</t>
  </si>
  <si>
    <t>Computers, Materials and Continua</t>
  </si>
  <si>
    <t>1546-2218</t>
  </si>
  <si>
    <t>17th International Conference on Future Networks and Communications / 19th International Conference on Mobile Systems and Pervasive Computing / 12th International Conference on Sustainable Energy Information Technology (FNC/MobiSPC/SEIT 2022), August 9-11, 2022, Niagara Falls, Ontario, Canada</t>
  </si>
  <si>
    <t>Maroua, Benlahsiniya; Rachida, Ait Abdelouahid; Abdelaziz, Marzak</t>
  </si>
  <si>
    <t>Smart farming architectures based on IoT review: comparative study</t>
  </si>
  <si>
    <t>Thabet, Marwa; Hnich, Brahim; Berrima, Mouhebeddine</t>
  </si>
  <si>
    <t>A sampling-based online Co-Location-Resistant Virtual Machine placement strategy</t>
  </si>
  <si>
    <t>10.1016/j.jss.2022.111215</t>
  </si>
  <si>
    <t>In this paper, we discuss the co-location attack problem in the cloud IaaS from the Virtual Machine (VM) placement strategy perspective. We formulate the online secure optimization VM placement problem in a way that guarantees—apriori—a specified level of security while minimizing the number of used physical servers. To solve such a problem, we propose an approximate online secure VM placement algorithm based on sampling. The polynomial-time algorithm is based on a sound security inference procedure based on the confidence interval estimation method. Our empirical results demonstrate the correctness and the effectiveness of our approach in guaranteeing a Co-Location-Resistant (CLR) VM placement with a specific level of confidence and a threshold error as new incoming VM requests are being assigned to servers online. We compared our algorithm to a CLR alternative presented in Azar et al. (2014).</t>
  </si>
  <si>
    <t>MH7KF6BH</t>
  </si>
  <si>
    <t>Park, Juwon; Yoon, Daegun; Yeo, Sangho; Oh, Sangyoon</t>
  </si>
  <si>
    <t>AMBLE: Adjusting mini-batch and local epoch for federated learning with heterogeneous devices</t>
  </si>
  <si>
    <t>Blockchain: Research and Applications</t>
  </si>
  <si>
    <t>Alizadeh, Morteza; Andersson, Karl; Schelén, Olov</t>
  </si>
  <si>
    <t>DHT- and blockchain-based smart identification for video conferencing</t>
  </si>
  <si>
    <t>10.1016/j.procs.2022.12.025</t>
  </si>
  <si>
    <t>In the present times, the practices of DevOps have become important due to the growing data and the dynamic traffic to the various applications at the user end. The software deployment into the production environment is the start of the process of deployment. From there, the product has to be monitored every time securely and initiate new versions of it. Moreover, it is also important to consider the functioning of the product along with customer satisfaction is important for consistent development. The application of DevOps practices using OpenShift is enhanced in this work. There is no single unified tool that performs the automation of build, testing and deploying pipelines. An ample amount of time is required to rebuild the pipeline for the deployment of the various versions of the code. Additionally, it is a tedious task to manage multiple tools and connect them for integration. Debugging the errors is also a difficult task. Red Hat OpenShift is the unified product for the complete process of automation starting from the development of the code to the deployment of the product on the servers. It is very important in the current time to have an agile and faster process of end-user deployment. Hence, the automated deployment practice with OpenShift will enhance the speed and delivery of the projects in the production environment. The proposed methodology will ensure the running of the standard deployment strategy, in an automated way which makes the process of deployment to be very advanced and automated. It ensures to be the single tool, which adds multiple benefits and ensures that the deployment of containers is performed in the cluster environment.</t>
  </si>
  <si>
    <t>YY7YHRM5</t>
  </si>
  <si>
    <t>Information Fusion</t>
  </si>
  <si>
    <t>1566-2535</t>
  </si>
  <si>
    <t>Mampage, Anupama; Karunasekera, Shanika; Buyya, Rajkumar</t>
  </si>
  <si>
    <t>Deep reinforcement learning for application scheduling in resource-constrained, multi-tenant serverless computing environments</t>
  </si>
  <si>
    <t>10.1016/j.future.2023.02.006</t>
  </si>
  <si>
    <t>Serverless computing has sparked a massive interest in both the cloud service providers and their clientele in recent years. This model entails the shift of the entire matter of resource management of user applications to the service provider. In serverless systems, the provider is highly motivated to attain cost efficient usage of their infrastructure, given the granular billing modules involved. However, due to the dynamic and multi-tenant nature of the serverless workloads and systems, achieving efficient resource management while maintaining function performance is a challenging task. Rapid changes in demand levels for applications cause variations in actual resource usage patterns of function instances. This leads to performance variations in co-located functions which compete for similar resources, due to resource contentions. Most existing serverless scheduling works offer heuristic techniques for function scheduling, which are unable to capture the true dynamism in these systems caused by multi-tenancy and varying user request patterns. Further, they rarely consider the often contradicting dual objectives of achieving provider resource efficiency along with application performance. In this article, we propose a novel technique incorporating Deep Reinforcement Learning (DRL) to overcome the aforementioned challenges for function scheduling in a highly dynamic serverless computing environment with heterogeneous computing resources. We train and evaluate our model in a practical setting incorporating Kubeless, an open-source serverless framework, deployed on a 23-node Kubernetes cluster setup. Extensive experiments done on this testbed environment show promising results with improvements of up to 24% and 34% in terms of application response time and resource usage cost respectively, compared to baseline techniques.</t>
  </si>
  <si>
    <t>NH4LL69Y</t>
  </si>
  <si>
    <t>Luo, Ke; Ouyang, Tao; Zhou, Zhi; Chen, Xu</t>
  </si>
  <si>
    <t>BeeFlow: Behavior tree-based Serverless workflow modeling and scheduling for resource-constrained edge clusters</t>
  </si>
  <si>
    <t>10.1016/j.sysarc.2023.102968</t>
  </si>
  <si>
    <t>Serverless computing has gained popularity in edge computing due to its flexible features, including the pay-per-use pricing model, auto-scaling capabilities, and multi-tenancy support. Complex Serverless-based applications typically rely on Serverless workflows (also known as Serverless function orchestration) to express task execution logic, and numerous application- and system-level optimization techniques have been developed for Serverless workflow scheduling. However, there has been limited exploration of optimizing Serverless workflow scheduling in edge computing systems, particularly in high-density, resource-constrained environments such as system-on-chip clusters and single-board-computer clusters. In this work, we discover that existing Serverless workflow scheduling techniques typically assume models with limited expressiveness and cause significant resource contention. To address these issues, we propose modeling Serverless workflows using behavior trees, a novel and fundamentally different approach from existing directed-acyclic-graph- and state machine-based models. Behavior tree-based modeling allows for easy analysis without compromising workflow expressiveness. We further present observations derived from the inherent tree structure of behavior trees for contention-free function collections and awareness of exact and empirical concurrent function invocations. Based on these observations, we introduce BeeFlow, a behavior tree-based Serverless workflow system tailored for resource-constrained edge clusters. Experimental results demonstrate that BeeFlow achieves up to 3.2× speedup in a high-density, resource-constrained edge testbed and 2.5× speedup in a high-profile cloud testbed, compared with the state-of-the-art. BeeFlow also demonstrates superior robustness in scenarios with heavy system workloads.</t>
  </si>
  <si>
    <t>G4C3SETK</t>
  </si>
  <si>
    <t>Arjona, Aitor; Finol, Gerard; López, Pedro García</t>
  </si>
  <si>
    <t>Transparent serverless execution of Python multiprocessing applications</t>
  </si>
  <si>
    <t>10.1016/j.future.2022.10.038</t>
  </si>
  <si>
    <t>Access transparency means that both local and remote resources are accessed using identical operations. With transparency, unmodified single-machine applications could run over disaggregated compute, storage, and memory resources. Hiding the complexity of distributed systems through transparency would have great benefits, like scaling-out local-parallel scientific applications over flexible disaggregated resources in the Cloud. This paper presents a performance evaluation where we assess the feasibility of access transparency over state-of-the-art Cloud disaggregated resources for Python multiprocessing applications. We have interfaced the multiprocessing module with an implementation that transparently runs processes on serverless functions and uses an in-memory data store for shared state. To evaluate transparency, we run in the Cloud four unmodified applications: Uber Research’s Evolution Strategies, Baselines-AI’s Proximal Policy Optimization, Pandaral.lel’s dataframe, and Scikit Learn’s Hyperparameter tuning. We compare execution time and scalability of the same application running over disaggregated resources using our library, with the single-machine Python multiprocessing libraries in a large VM. For equal resources, applications efficiently using message-passing abstractions achieve comparable results despite the significant overheads of remote communication. Other shared-memory intensive applications do not perform due to high remote memory latency. The results show that Python’s multiprocessing library design is an enabler towards transparency: legacy applications using efficient disaggregated abstractions can transparently scale beyond VM limited resources for increased parallelism without changing the underlying code or architecture.</t>
  </si>
  <si>
    <t>SY4NRRTZ</t>
  </si>
  <si>
    <t>10.1016/j.procs.2023.10.360</t>
  </si>
  <si>
    <t>The current paper analyzes the feasibility of a modular web application's migration procedure from on-premises to the cloud. Our focus is on identifying cost savings and options for hosting the application in the cloud. The research specifically examines the impact of architectural decisions records (ADR) on a modular monolith use case, utilizing .NET Core for the backend and Angular for the front end, with Clean Architecture as the design pattern. We investigate different cloud models (IaaS, PaaS, Serverless) considering project management's triple constraints (time, cost, performance). The study demonstrates that a modular monolith can be migrated with varying effort and costs depending on the chosen cloud model and technology stack. We explore optimizations such as resource utilization, licensing fees, and cost reduction through infrastructure reservations. Our findings show that the migration cost can range from a 20% increase with IaaS to approximately 70% cost reduction with the Serverless strategy compared to the on-premises environment, using equivalent resources. We also explore methods to lower expenses for each model, including resource modifications, Linux operating systems, and longer resource reservations. Considering limitations, we propose a two-stage migration strategy: initially lifting and shifting the application to IaaS with cost optimization, and subsequently migrating to PaaS for scalability and simplified resource management in the long term.</t>
  </si>
  <si>
    <t>BP237U6C</t>
  </si>
  <si>
    <t>7th International Conference on Computer Science and Computational Intelligence 2022</t>
  </si>
  <si>
    <t>Nday, Bryan Andreas; Kusuma, Gede Putra; Fredyan, Renaldy</t>
  </si>
  <si>
    <t>Serverless utilization in microservice e-learning platform</t>
  </si>
  <si>
    <t>10.1016/j.procs.2022.12.128</t>
  </si>
  <si>
    <t>Since cloud computing becoming the trend, the way servers being implemented slowly moves to the cloud. Companies did not need to buy a physical server machine to deploy an app. Having a private server on cloud infrastructure indeed already reduce some cost for on-premise server maintenance. However, there is still a cost for usage when the server is inactive or having low to no traffic at all. Serverless deployment offer function as a service where application is deployed as a function and cost is billed per function call. This paper proposed a solution where there are two deployment that works in turn between infrastructure as a service and function as a service deployment. This dual deployment offered the system to use the virtual private server or deployed instance on active hours, and switch to serverless functions on inactive hours. Switching to serverless on low traffic hours will cut the usage and cost of the microservice app by the least 25%, while having performance slightly comparable to microservice app deployed to instances.</t>
  </si>
  <si>
    <t>8PKTZQ26</t>
  </si>
  <si>
    <t>Yao, Xuyi; Chen, Ningjiang; Yuan, Xuemei; Ou, Pingjie</t>
  </si>
  <si>
    <t>Performance optimization of serverless edge computing function offloading based on deep reinforcement learning</t>
  </si>
  <si>
    <t>10.1016/j.future.2022.09.009</t>
  </si>
  <si>
    <t>It is difficult for resource-constrained edge servers to simultaneously meet the performance requirements of all the latency-sensitive Internet of Things (IoT) applications in edge computing. Therefore, it is a significant challenge to efficiently generate a task offloading strategy. Recently, deep reinforcement learning (DRL)-based task offloading methods have been studied to ensure long-term performance optimization. However, there are challenges in existing DRL-based task offloading methods, such as insufficient sample diversity and high exploration cost. To optimize the performance of edge computing and facilitate the development and deployment of event-driven IoT applications, the serverless edge computing model has emerged. It combines serverless computing, also known as Function as a Service (FaaS), with edge computing and has been adopted in edge AI inference and prediction, stream processing, face recognition, etc. In this paper, an experience-sharing deep reinforcement learning-based distributed function offloading method called ES-DRL is proposed in the setting of a combined stateful and stateless execution model for serverless edge computing. ES-DRL adopts a distributed learning architecture, where each edge FaaS (EFaaS) obtains the current state of the local environment and inputs them to the local DRL agent, which outputs the function offloading strategy. Then, each EFaaS uploads the experience data interacting with the environment to a global shared replay buffer located in the cloud and randomly draws a batch of data from it to optimize the parameters of the local network. A population-guided policy search method is introduced to speed up the convergence of the DRL agent and avoid falling into the local optimum. The experimental results demonstrate that ES-DRL can reduce the average latency by up to approximately 17 percent compared to the existing DRL-based task offloading method.</t>
  </si>
  <si>
    <t>UPKUGIRH</t>
  </si>
  <si>
    <t>Zheng, Senjiong; Liu, Bo; Lin, Weiwei; Ye, Xiaoying; Li, Keqin</t>
  </si>
  <si>
    <t>A package-aware scheduling strategy for edge serverless functions based on multi-stage optimization</t>
  </si>
  <si>
    <t>10.1016/j.future.2023.02.013</t>
  </si>
  <si>
    <t>Serverless computing offers a promising deployment model for edge IoT applications. However, serverless functions that rely on large libraries suffer from severe library loading latency when containerized, which is unfriendly to edge latency-sensitive applications. Most function offload strategies in edge environments ignore the impact of this latency. We also found that the measures taken by serverless platforms to reduce loading latency may not work in edge environments. To remedy that, this paper proposes a function offloading strategy to minimize loading latency, a new way to deeply integrate placement optimization with cache optimization. In this way, we first design a package caching policy suitable for edge environments based on the consistency of execution topology. Then a Double Layers Dynamic Programming algorithm (DLDP) is proposed to solve the problem of function offloading considering the dependent packages using a multi-stage progressive optimization approach. The caching policy is embedded in the scheduling algorithm through a phased optimization approach to achieve joint optimization. Extensive experiments on the cluster trace from Alibaba show that DLDP reduces the loading latency of packages by more than 97.84% and significantly outperforms four baselines in the application completion time by more than 55.67%.</t>
  </si>
  <si>
    <t>Dependency package awareness; Package caching strategy; Serverless function offloading</t>
  </si>
  <si>
    <t>8JESJ5HI</t>
  </si>
  <si>
    <t>Journal of King Saud University - Computer and Information Sciences</t>
  </si>
  <si>
    <t>1319-1578</t>
  </si>
  <si>
    <t>Information and Software Technology</t>
  </si>
  <si>
    <t>Sigurleifsson, Benedikt; Ahmed, Nafisa; Verdet, Alexandre; Hamdaqa, Mohammad; Sabri, Mohamed; Pelletier, Isael</t>
  </si>
  <si>
    <t>An approach for modeling the operational requirements of FaaS applications for optimal deployment</t>
  </si>
  <si>
    <t>0950-5849</t>
  </si>
  <si>
    <t>10.1016/j.infsof.2023.107242</t>
  </si>
  <si>
    <t>FaaS can extend cloud capabilities to local edge devices. They enable composing applications into workflows and distributing their processes between the edge and the cloud. When deploying a FaaS application, the key issue is to define the desired operational requirements and find a configuration that satisfies them. Both problems are complex and subjective as they differ from one application to another depending on the application structure, run-time model, and optimization requirements. We address these issues using a general multi-criteria optimization approach based on a fuzzy analytical hierarchy process (AHP). Firstly, the specialists intuitively specify their fuzzy privacy in terms of data locality, cost, and performance requirements. Then, a Fuzzy AHP model is constructed to compare and select the optimal workflow configuration that satisfies the requirements. The work is evaluated using a real FaaS application, where AWS Cloud and AWS Greengrass present the cloud and the edge. We assessed the ability of the proposed approach to retrieve the optimal configurations for various scenarios and compared the results to one of the state-of-the-art approaches. Unlike existing hard-coded approaches, our approach is intuitive, modular, extensible, and addresses more DevOps requirements.</t>
  </si>
  <si>
    <t>Gonçalves, Diogo M.; Puliafito, Carlo; Mingozzi, Enzo; Bittencourt, Luiz F.; Madeira, Edmundo R.M.</t>
  </si>
  <si>
    <t>End-to-end network slicing in vehicular clouds using the MobFogSim simulator</t>
  </si>
  <si>
    <t>10.1016/j.future.2022.11.018</t>
  </si>
  <si>
    <t>Container-based virtualization has become increasingly popular as a lightweight alternative to hypervisor-based virtualization in cloud computing. Isolation is a fundamental property for consistent and reliable performance for cloud environment. However, the isolation between containers is much weaker than virtual machines as containers on the same host share one underlying host kernel. Existing works have mainly focused on the isolation problems at physical resources (e.g. CPU) level and almost not discussed with kernel resources (e.g. lock). In this paper, we perform a study to quantify kernel resource isolation for containers with a new microbenchmark, KRIBench. Then we describe kernel resource isolation issues and identify several kernel resources competition behind the poor isolation. Furthermore, we design and implement Valve, a general and flexible system that reduces kernel resources competition through limiting usage of system calls. Valve adopts Pareto-based container identification to locate misbehaving containers and supply–demand model to manage usage of system calls. The evaluation results demonstrate that our system can effectively enhance the kernel resource isolation for containers with negligible performance overhead.</t>
  </si>
  <si>
    <t>42MRKTPE</t>
  </si>
  <si>
    <t>Balancing local vs. remote state allocation for micro-services in the cloud–edge continuum</t>
  </si>
  <si>
    <t>10.1016/j.pmcj.2023.101808</t>
  </si>
  <si>
    <t>In the world of cloud technologies, serverless computing has now settled as a stable and promising resident. This gives a cloud provider the flexibility to provide its users with both Platform-as-a-Service (PaaS), i.e., the back-end application runs in a dedicated container, or Function-as-a-Service (FaaS), i.e., the back-end logic is offered as elementary functions that are invoked by the client applications. In parallel, edge computing has attracted a significant interest, due its enticing promises of reducing the outbound traffic of telco operators, while at the same time cutting down the user latency. As a result, in the near future, PaaS and FaaS containers are going to cohabit in a versatile computation infrastructure spanning from the far edge up to the cloud. In this paper we propose a mathematical formulation of a resource allocation problem that optimizes the assignment of both types of containers and can be solved efficiently by an edge orchestrator. We evaluate the proposed solution via extensive simulation experiments, which show that our approach, which takes into account the characteristics of PaaS vs. FaaS, provides significant performance benefits compared to less sophisticated strategies, despite its relatively low run-time complexity.</t>
  </si>
  <si>
    <t>XZG4GC4R</t>
  </si>
  <si>
    <t>10.1016/j.jksuci.2023.101847</t>
  </si>
  <si>
    <t>The sixth-generation (6G) network utilizes state-of-the-art machine learning technology and obtains high attention, while the fifth-generation (5G) industry is still developing globally. Unfortunately, 6G encounters challenges to achieve performance superiority, such as scalability, massive connection, integrity, and trust. As a result, future network technologies are migrating away from centralized management entities and toward decentralized and distributed ledger technology, such as blockchain. However, the security of the blockchain is based on the computational complexity of solving specific mathematical problems that are impossible to solve on existing computers in real-time. On the other hand, quantum computers can effortlessly translate such problems with easy decryption. As a result, this study presents an architecture demonstrating the integration of quantum blockchain (QBC) with 6G networks. To show the quantum advantage, highly entangled/secured QBC of 5-, 6-, and 7-qubits are used to create the above system’s quantum circuits. After circuit optimization, mitigation is executed with the efficiency analysis to show the advantage of the error mitigation approach in recreating the state of the QBC circuit and executing on quantum hardware. Furthermore, quantum algorithms of blockchain smart provenience contracts for the cloud-centric Internet of Things (IoT) are proposed, and corresponding quantum circuits are designed. The possible outcomes from these circuits based on the input transaction information are verified.</t>
  </si>
  <si>
    <t>GKRGVUWS</t>
  </si>
  <si>
    <t>10.1016/j.suscom.2023.100859</t>
  </si>
  <si>
    <t>To fulfill people's expectations for smart and user-friendly Internet of Things (IoT) applications, the quantity of processing is fast expanding, and task latency constraints are becoming extremely rigorous. On the other hand, the limited battery capacity of IoT objects severely affects the user experience. Energy Harvesting (EH) technology enables green energy to offer a continuous energy supply for IoT objects. It provides a solid assurance for the proper functioning of resource-constrained IoT objects when combined with the maturation of edge platforms and the development of parallel computing. The Markov Decision Process (MDP) and Deep Learning (DL) are used in this work to solve dynamic online/offline IoT-edge offloading scenarios. The suggested system may be used in both offline and online contexts and meets the user's quality of service expectations. Also, we investigate a blockchain scenario in which edge and cloud could work toward task offloading to address the tradeoff between limited processing power and high latency while ensuring data integrity during the offloading process. We provide a double Q-learning solution to the MDP issue that maximizes the acceptable offline offloading methods. During exploration, Transfer Learning (TL) is employed to quicken convergence by reducing pointless exploration. Although the recently promoted Deep Q-Network (DQN) may address this space complexity issue by replacing the huge Q-table in standard Q-learning with a Deep Neural Network (DNN), its learning speed may still be insufficient for IoT apps. In light of this, our work introduces a novel learning algorithm known as deep Post-Decision State (PDS)-learning, which combines the PDS-learning approach with the classic DQN. The system component in the proposed system can be dynamically chosen and modified to decrease object energy usage and delay. On average, the proposed technique outperforms multiple benchmarks in terms of delay by 4.5%, job failure rate by 5.7%, cost by 4.6%, computational overhead by 6.1%, and energy consumption by 3.9%.</t>
  </si>
  <si>
    <t>3UJYYL2U</t>
  </si>
  <si>
    <t>Cotroneo, Domenico; De Simone, Luigi; Liguori, Pietro; Natella, Roberto</t>
  </si>
  <si>
    <t>Run-time failure detection via non-intrusive event analysis in a large-scale cloud computing platform</t>
  </si>
  <si>
    <t>The uphill journey of FaaS in the open-source community</t>
  </si>
  <si>
    <t>10.1016/j.jss.2022.111589</t>
  </si>
  <si>
    <t>Since its introduction in 2014 by Amazon, the Function as a Service (FaaS) model of serverless computing has set the expectation to fulfill the promise of on-demand, pay-as-you-go, infrastructure-independent processing, originally formulated by cloud computing. Yet, serverless applications are fundamentally different than traditional service-oriented software in that they pose specific performance (e.g., cold start), design (e.g., stateless), and development challenges (e.g., debugging). A growing number of cloud solutions have been continuously attempting to address each of these challenges as a result of the increasing popularity of FaaS. Yet, the characteristics of this model have been poorly understood; therefore, the challenges are poorly tackled. In this paper, we assess the state of FaaS in open-source community with a study on almost 2K real-world serverless applications. Our results show a jeopardized ecosystem, where, despite the hype of serverless solutions in the last years, a number of challenges remain untackled, especially concerning component reuse, support for software development, and flexibility among different platforms — resulting in arguably slow adoption of the FaaS model. We believe that addressing the issues discussed in this paper may help researchers shaping the next generation of cloud computing models.</t>
  </si>
  <si>
    <t>E54HKDAB</t>
  </si>
  <si>
    <t>Performance Evaluation</t>
  </si>
  <si>
    <t>0166-5316</t>
  </si>
  <si>
    <t>Wang, Jing; Li, Chao; Liu, Yibo; Wang, Taolei; Mei, Junyi; Zhang, Lu; Wang, Pengyu; Guo, Minyi</t>
  </si>
  <si>
    <t>Fargraph+: Excavating the parallelism of graph processing workload on RDMA-based far memory system</t>
  </si>
  <si>
    <t>10.1016/j.compeleceng.2022.108458</t>
  </si>
  <si>
    <t>The increasing use of workflows in various fields of science has led to the development of the Workflow as a Service (WaaS) platform, which provides workflow execution as a service to the users. The WaaS platform must use appropriate resource provisioning, sharing, and scheduling, to properly allocate the workflow tasks to the Cloud resources and fulfill the scheduling objectives. In this paper, we have proposed a novel workflow scheduling approach for the WaaS platform that reduces the average makespan of the workflows, improves energy efficiency, and reduces the resource renting cost of the Cloud resources. Our scheduling model consists of containers, virtual machines (VMs), and hosts. We have also proposed a suitable scaling policy for the Cloud resources to improve resource utilization. Extensive simulations with real-world workflows and comparison with some state-of-the-art algorithms show the efficacy of our approach in improving performance and energy efficiency while reducing the monetary cost.</t>
  </si>
  <si>
    <t>9RKRX2I6</t>
  </si>
  <si>
    <t>10.1016/j.future.2023.07.023</t>
  </si>
  <si>
    <t>As the customer base of cloud computing services continues to grow, the demand for providing cloud resources in an economic manner has become increasingly important. To incorporate multiple clouds, JointCloud has been proposed for sharing cloud services. However, efficient communication among clouds is essential to enable resource sharing in JointCloud, which poses a critical challenge. The existing congestion control mechanisms for JointCloud have been founded to be inadequate in sharing network resources effectively and fairly, resulting in performance shortcomings. The maximum achievable transmission rate is limited to only 50% of the bandwidth, and the minimum and maximum transmission rates for different clouds in JointCloud may have a difference of up to ten times in magnitude. We propose a novel distributed congestion control mechanism for the JointCloud environment, which leverages ideas from rich literature on distributed online learning. The proposed mechanism operates in a distributed manner, with an aggregative variable representing the network condition integrated into each sender’s utility function. Our theoretical analyses establish that the proposed mechanism achieves a unique Nash equilibrium, enabling fair resource allocation among all senders. Furthermore, our simulation evaluations demonstrate that the proposed mechanism outperforms the existing congestion control mechanism in JointCloud environment by achieving a 20% higher throughput in the presence of at least 1% random loss, a 50% higher throughput for short TCP flows, and a throughput ratio of 1 when sharing bandwidth with conventional mechanisms, which indicates a perfect TCP friendliness towards other mechanisms. In summary, our proposed congestion control mechanism is the first to work in a distributed manner, which improves the efficiency and fairness of the congestion control mechanism. The proposed mechanism has the potential to significantly enhance the performance of communication among clouds, making a noteworthy contribution to cloud resource sharing.</t>
  </si>
  <si>
    <t>Z89X87QY</t>
  </si>
  <si>
    <t>10.1016/j.cose.2023.103343</t>
  </si>
  <si>
    <t>Modern business is increasingly adopting fully-digital workflows composed of complementary services (in terms of infrastructures, software, networks, data and devices) from different domains, hence giving rise to complex and heterogeneous digital chains. The substantial fragmentation in service operation and ownership between these domains impacts cybersecurity operations, by hindering a coherent and cooperative defense strategy for the entire chain. As a result, this situation gives attackers more opportunity to move laterally within the chain once they have found and compromised the weakest link. A ground-breaking evolution of legacy cybersecurity processes is necessary towards collaborative and adaptive models that fit the dynamic, agile, and heterogeneous nature of federated environments. In this paper, we elaborate on the necessary convergence between complementary workflows for response, analysis, and intelligence, by considering the peculiarity of these operations and the relevant threat scenario. Our analysis points out the main research challenges to fill the existing gap between management and protection practice for digital service chains. Moreover, we outline a reference architecture that combines such workflows. The objective is to foster researchers to broaden the scope of their work, in order to address open security issues for modern business and computing paradigms.</t>
  </si>
  <si>
    <t>85BWR5DI</t>
  </si>
  <si>
    <t>10.1016/j.future.2023.06.013</t>
  </si>
  <si>
    <t>The increasing popularity of applications with tight latency requirements has motivated research on Edge Computing, which positions computing resources near data sources at the Internet’s edge. Despite the emergence of simulation tools that make prototype validation less complex, time-consuming, and expensive, researchers and practitioners still face significant challenges when developing resource management strategies for the edge, as existing simulators fall short in providing a fine-grained model of edge applications provisioning. To overcome this challenge, we propose EdgeSimPy, a simulation framework written in Python for modeling and evaluating resource management policies in Edge Computing environments. EdgeSimPy features a modular architecture that incorporates several functional abstractions for edge servers, network devices, and applications with built-in models for user mobility, application composition, and power consumption that allow the simulation of various scenarios. Furthermore, we propose a novel conceptual model that accurately represents the entire lifecycle of edge applications and ensures seamless integration with real application traces. In addition to submitting EdgeSimPy to an in-depth verification that checks the simulator implementation, we discuss case studies that show EdgeSimPy in action in different large-scale scenarios.</t>
  </si>
  <si>
    <t>773U5PMK</t>
  </si>
  <si>
    <t>Egyptian Informatics Journal</t>
  </si>
  <si>
    <t>1110-8665</t>
  </si>
  <si>
    <t>10.1016/j.comnet.2023.110042</t>
  </si>
  <si>
    <t>Indoor positioning has attracted considerable interest in both the industry and academic communities because of its wide range of applications, such as asset tracking, healthcare and context-aware services like targeted advertisements. While there are many indoor localisation methods, each has its advantages and disadvantages, taking into consideration various factors such as the effect of the indoor environment, ease of implementation, computational cost, positioning accuracy, etc. In other words, no single solution can cater for all different situations. Although many survey papers have been published on indoor positioning, new techniques and methods are proposed every year, so it is important to stay abreast of its latest developments. In addition, each survey has its own classification for indoor positioning systems without a common scheme. Inspired by the well-known OSI model and TCP/IP model, it would be desirable to develop a systematic framework for studying indoor positioning systems. In this paper, we make this new contribution by introducing a systemic survey framework based on a six-layer model to give a comprehensive survey of indoor positioning systems, namely: device layer, communication layer, network layer, data layer, method layer and application layer. Complementing the previous survey papers, this paper provides a survey of the latest research works on indoor positioning based on the six-layer model. Our emphasis is on systematic categorisation, machine learning-based enhancements, collaborative localisation and COVID-19-related applications. The six-layer model should provide a useful framework and new insights for the research community.</t>
  </si>
  <si>
    <t>XTHED8E9</t>
  </si>
  <si>
    <t>10.1016/j.comnet.2023.110089</t>
  </si>
  <si>
    <t>Several upcoming 5G and 6G services will rely on unmanned aerial vehicles (UAV) sending live information to remote terminals. Thus, understanding the traffic flows that might influence end-user experience in these services is key for cellular network operators. One of these UAV-based services is first person view (FPV) drone control, consisting on the remote control of the UAV in Beyond Visual Line of Sight scenarios using only the live video visualized in a ground control station. This work focuses on the networking aspects of this service by presenting the assembly, integration and evaluation methodology of an UAV quadrotor teleoperated via FPV through a Long Term Evolution (LTE) network or WiFi radio access link. To assess system performance, three different connectivity schemes between UAV and ground control station are tested, namely server-based connection via LTE, direct LTE, and peer-to-peer WiFi connection. Then, several experiments are carried out in the testbed to characterize telemetry, control and video traffic for FPV service in the above schemes. Later, a methodology is defined to estimate Quality of Experience (QoE) for FPV service based on image quality and video latency measurements collected at network and application level. Results show that the QoE model for live video introduced in this work can be the basis of more sophisticated models for cellular FPV services.</t>
  </si>
  <si>
    <t>VSU3J8B8</t>
  </si>
  <si>
    <t>Hussain, Razin Farhan; Salehi, Mohsen Amini</t>
  </si>
  <si>
    <t>Resource allocation of industry 4.0 micro-service applications across serverless fog federation</t>
  </si>
  <si>
    <t>10.1016/j.future.2024.01.017</t>
  </si>
  <si>
    <t>The Industry 4.0 revolution has been made possible via AI-based applications (e.g., for automation and maintenance) deployed on the serverless edge (aka fog) computing platforms at the industrial sites—where the data is generated. Nevertheless, fulfilling the fault-intolerant and real-time constraints of Industry 4.0 applications on resource-limited fog systems in remote industrial sites (e.g., offshore oil fields) that are uncertain, disaster-prone, and have no cloud access is challenging. It is this challenge that our research aims at addressing. We consider the inelastic nature of the fog systems, software architecture of the industrial applications (micro-service-based versus monolithic), and scarcity of human experts in remote sites. To enable cloud-like elasticity, our approach is to dynamically and seamlessly (i.e., without human intervention) federate nearby fog systems. Then, we develop serverless resource allocation solutions that are cognizant of the applications’ software architecture, their latency requirements, and distributed nature of the underlying infrastructure. We propose methods to seamlessly and optimally partition micro-service-based application across the federated fog. Our experimental evaluation express that not only the elasticity is overcome in a serverless manner, but also our developed application partitioning method can serve around 20% more tasks on-time than the existing methods in the literature.</t>
  </si>
  <si>
    <t>Fog federation; Industry 4.0 applications; Micro-service architecture; Serverless computing; Workflow partitioning</t>
  </si>
  <si>
    <t>EJDPJSES</t>
  </si>
  <si>
    <t>Tran, Minh-Ngoc; Kim, YoungHan</t>
  </si>
  <si>
    <t>Concurrent service auto-scaling for Knative resource quota-based serverless system</t>
  </si>
  <si>
    <t>10.1016/j.future.2024.06.019</t>
  </si>
  <si>
    <t>Serverless computing platforms currently provide application developers with two ways to control their services’ resource usage cost: resource usage-based and resource quota-based. In usage-based systems, resources are assigned to services based on the amount they consume. Meanwhile, a fixed resource amount is reserved and shared between services for quota-based systems. Several studies have been proposed to enhancing the default serverless auto- scaling algorithms to optimize resource usage and service quality. However, almost all previous works targeted usage-based systems and optimized auto-scaling performance for each separate service. In contrast, this work targets auto-scaling of concurrent services in serverless quota-based systems. In serverless quota-based systems, over-quota resource usage and latency Service Level Objective (SLO) violation may occur when auto-scaling new instances during burst traffic moments. Hence, we aim to find an optimal hybrid auto-scaling decision to minimize over-quota resource usage and latency SLO violation. To solve this problem, We applied deep reinforcement learning and traffic prediction techniques. Our solution is developed and implemented based on the characteristics of the most popular open-source serverless platform Knative. For evaluation, we compared our solution with the default Knative auto-scaler and our previously proposed usage-based hybrid Knative auto-scaler. We configured the default Knative auto-scaler with two different settings that can optimize the total resource usage of all services or minimize service latency. Compared to the optimized resource usage version, our solution traded a slightly higher resource usage for an 11.3% latency SLO violation duration reduction. Meanwhile, compared with the optimized latency version, our solution reduced the over-quota resource usage rate by 18.25% while achieving a similar latency SLO preservation performance. Compared to the usage-based hybrid auto-scaler, the latency SLO violation rate and over-quota resource usage were approximately reduced by half.</t>
  </si>
  <si>
    <t>Z5UTRPJR</t>
  </si>
  <si>
    <t>André Setti Cassel, Gustavo; da Rosa Righi, Rodrigo; André da Costa, Cristiano; Rosecler Bez, Marta; Pasin, Marcelo</t>
  </si>
  <si>
    <t>Towards providing a priority-based vital sign offloading in healthcare with serverless computing and a fog-cloud architecture</t>
  </si>
  <si>
    <t>10.1016/j.future.2024.03.032</t>
  </si>
  <si>
    <t>Smart cities and healthcare services have been gaining much attention in recent years, as the benefits offered by this field of research are significant and improve quality of life. Systems can proactively detect health problems by monitoring a person’s vital signs and make automated decisions to prevent these problems from worsening. With this in mind, we highlight two essential requirements that smart city architectures should consider to achieve elevated quality of experience in the healthcare domain. The first is to process high-priority vital signs with short response times, so people with comorbidities can have health problems identified as soon as possible. The second is to employ scalability techniques to deal with high usage peaks resulting from people concentrating in specific city neighborhoods. This paper contributes to this field of research by proposing SmartVSO - a computational model of a hierarchic, scalable, tree-based, fog-cloud architecture that executes healthcare services with reduced response time for urgent vital signs. Fog computing is employed to reduce response times, and cloud computing is used to provide virtually infinite computing resources. Serverless computing is the main technology we consider for deploying and running healthcare services because this allows authorized companies to implement their own services in a distributed and pluggable approach, without recompiling the proposed modules and reducing scalability concerns for engineers. An experiment with 80,000 vital signs indicates that our solution processes 60% of the very critical ones in no more than 5.3 s, while an architecture without fog computing and without prioritization takes up to 231 min (around 3 h and 51 min) to process 60% of very critical vital signs.</t>
  </si>
  <si>
    <t>EM5RCBGJ</t>
  </si>
  <si>
    <t>Karim, Seemab; Qureshi, Kashif Naseer; Ibrahim, Ashraf Osman; Abulfaraj, Anas W.; Ghafoor, Kayhan Zrar</t>
  </si>
  <si>
    <t>Enhanced centroid-based energy-efficient clustering routing protocol for serverless based wireless sensor networks</t>
  </si>
  <si>
    <t>10.1016/j.jksuci.2024.102067</t>
  </si>
  <si>
    <t>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t>
  </si>
  <si>
    <t>PCA9T5DS</t>
  </si>
  <si>
    <t>Emami Khansari, Mina; Sharifian, Saeed</t>
  </si>
  <si>
    <t>A scalable modified deep reinforcement learning algorithm for serverless IoT microservice composition infrastructure in fog layer</t>
  </si>
  <si>
    <t>10.1016/j.future.2023.11.022</t>
  </si>
  <si>
    <t>Nowadays many modern and Artificial Intelligence (AI) enabled Internet of Things (IoT) applications consist of chains connecting microservices distributed across the fog and cloud layers to achieve a certain functionality. These microservices should be assigned to the available processing instances placed on the things, fog and cloud layers while considering the resource utilization, Quality of Service (QoS) parameters and requirements of the user. Despite several existing optimization approaches, IoT microservice composition remains a challenge in serverless computing architecture due to the large-scale environment, its dynamic nature and the heterogeneous nodes with limited capacity. To address these challenges, a novel IoT microservice composition based on serverless architecture is proposed in the fog layer. Serverless computing is a new paradigm which offers the ability to build scalable applications without worrying about back-end management making this paradigm particularly effective in IoT environment. We specifically propose a modified Deep Reinforcement Learning (DRL)-based Microservice Chaining at Fog Layer (DRLMCF) algorithm to improve the distributed chained microservice placement in order to minimize resource utilization and delay in a fog based serverless architecture. Unlike existing methods, the proposed DRLMCF is built on realistic assumptions and does not require expert tuning or a large amount of labeled data to make optimal decisions. Furthermore, our method is not entirely dependent on a central controller and fog nodes take part in the decision making thus making the algorithm scalable in IoT environment. Compared to state-of-the art methods including load balance, shortest path and random schedule algorithms, evaluation by simulating several real-world scenarios demonstrates the proposed DRLMCF improves end to end delay up to 57.3% and the number of successfully chained microservices by up to 84%.</t>
  </si>
  <si>
    <t>TPGNXFAL</t>
  </si>
  <si>
    <t>10.1016/j.infsof.2024.107529</t>
  </si>
  <si>
    <t>Context: The emergence of quantum computing proposes a revolutionary paradigm that can radically transform numerous scientific and industrial application domains. The ability of quantum computers to scale computations beyond what the current computers are capable of implies better performance and efficiency for certain algorithmic tasks. Objective: However, to benefit from such improvement, quantum computers must be integrated with existing software systems, a process that is not straightforward. In this paper, we propose a unified execution model that addresses the challenges that emerge from building hybrid classical-quantum applications at scale. Method: Following the Design Science Research methodology, we proposed a convention for mapping quantum resources and artifacts to Kubernetes concepts. Then, in an experimental Kubernetes cluster, we conducted experiments for scheduling and executing quantum tasks on both quantum simulators and hardware. Results: The experimental results demonstrate that the proposed platform Qubernetes (or Kubernetes for quantum) exposes the quantum computation tasks and hardware capabilities following established cloud-native principles, allowing seamless integration into the larger Kubernetes ecosystem. Conclusion: The quantum computing potential cannot be realized without seamless integration into classical computing. By validating that it is practical to execute quantum tasks in a Kubernetes infrastructure, we pave the way for leveraging the existing Kubernetes ecosystem as an enabler for hybrid classical-quantum computing.</t>
  </si>
  <si>
    <t>UEPBIZ6Y</t>
  </si>
  <si>
    <t>Wang, Zhiyu; Goudarzi, Mohammad; Gong, Mingming; Buyya, Rajkumar</t>
  </si>
  <si>
    <t>Deep Reinforcement Learning-based scheduling for optimizing system load and response time in edge and fog computing environments</t>
  </si>
  <si>
    <t>10.1016/j.future.2023.10.012</t>
  </si>
  <si>
    <t>Edge/fog computing, as a distributed computing paradigm, satisfies the low-latency requirements of ever-increasing number of IoT applications and has become the mainstream computing paradigm behind IoT applications. However, because large number of IoT applications require execution on the edge/fog resources, the servers may be overloaded. Hence, it may disrupt the edge/fog servers and also negatively affect IoT applications’ response time. Moreover, many IoT applications are composed of dependent components incurring extra constraints for their execution. Besides, edge/fog computing environments and IoT applications are inherently dynamic and stochastic. Thus, efficient and adaptive scheduling of IoT applications in heterogeneous edge/fog computing environments is of paramount importance. However, limited computational resources on edge/fog servers imposes an extra burden for applying optimal but computationally demanding techniques. To overcome these challenges, we propose a Deep Reinforcement Learning-based IoT application Scheduling algorithm, called DRLIS to adaptively and efficiently optimize the response time of heterogeneous IoT applications and balance the load of the edge/fog servers. We implemented DRLIS as a practical scheduler in the FogBus2 function-as-a-service framework for creating an edge–fog–cloud integrated serverless computing environment. Results obtained from extensive experiments show that DRLIS significantly reduces the execution cost of IoT applications by up to 55%, 37%, and 50% in terms of load balancing, response time, and weighted cost, respectively, compared with metaheuristic algorithms and other reinforcement learning techniques.</t>
  </si>
  <si>
    <t>ZWM4ATLA</t>
  </si>
  <si>
    <t>Nguyen, Hoa T.; Usman, Muhammad; Buyya, Rajkumar</t>
  </si>
  <si>
    <t>QFaaS: A Serverless Function-as-a-Service framework for Quantum computing</t>
  </si>
  <si>
    <t>10.1016/j.future.2024.01.018</t>
  </si>
  <si>
    <t>Quantum computing is rapidly reaching a point in which its application design and engineering aspects must be seriously considered. However, quantum software engineering is still in its infancy, with numerous challenges, especially in dealing with the diversity of quantum programming languages and noisy intermediate-scale quantum (NISQ) systems. To alleviate these challenges, we propose QFaaS, a holistic Quantum Function-as-a-Service framework, which leverages the advantages of the serverless model, DevOps lifecycle, and the state-of-the-art software techniques to advance practical quantum computing for next-generation application development in the NISQ era. Our framework provides essential elements of a serverless quantum system to streamline service-oriented quantum application development in cloud environments, such as combining hybrid quantum–classical computation, automating the backend selection, cold start mitigation, and adapting DevOps techniques. QFaaS offers a full-stack and unified quantum serverless platform by integrating multiple well-known quantum software development kits (Qiskit, Q#, Cirq, and Braket), quantum simulators, and cloud providers (IBM Quantum and Amazon Braket). This paper proposes the concept of quantum function-as-a-service, system design, operation workflows, implementation of QFaaS, and lessons learned on the benefits and limitations of quantum serverless computing. We also present practical use cases with various quantum applications on today’s quantum computers and simulators to demonstrate our framework capability to facilitate the ongoing quantum software transition.</t>
  </si>
  <si>
    <t>Hybrid quantum-classical computing; Quantum cloud computing; Quantum DevOps; Quantum function-as-a-service; Quantum serverless; Quantum software engineering</t>
  </si>
  <si>
    <t>MK267HLL</t>
  </si>
  <si>
    <t>Pournaropoulos, Foivos; Patras, Alexandros; Antonopoulos, Christos D.; Bellas, Nikos; Lalis, Spyros</t>
  </si>
  <si>
    <t>Fluidity: Providing flexible deployment and adaptation policy experimentation for serverless and distributed applications spanning cloud–edge–mobile environments</t>
  </si>
  <si>
    <t>10.1016/j.future.2024.03.031</t>
  </si>
  <si>
    <t>We introduce Fluidity, a framework enabling the flexible and adaptive deployment of serverless and modular applications in systems comprising cloud, edge, and mobile nodes. Based on a declarative description of application requirements, a custom placement policy, and a formal system infrastructure description, Fluidity plans and executes an initial deployment of application components in the cloud–edge–mobile continuum. Furthermore, at runtime, Fluidity monitors resource availability and the position of mobile nodes, and adapts the deployment of the application accordingly, without any manual intervention from the application owner or system administrator. These characteristics render Fluidity an enabler for serverless applications, allowing the application developers to focus on the application code itself while abstracting out the infrastructure management. Notably, Fluidity permits developers to provide their own deployment and adaptation policies as well as to switch between different policies while the application is running. We discuss the design and implementation of Fluidity in detail and provide a realistic evaluation using a lab testbed in which the mobile node is represented as a simulated drone. In addition, we evaluate the scalability of the proposed mechanisms. Our results show that the core mechanisms of Fluidity can support flexible application execution at a reasonable overhead and experimentation with different deployment policies with minimal effort.</t>
  </si>
  <si>
    <t>HS4JSHTL</t>
  </si>
  <si>
    <t>Mirampalli, Sreenivasu; Wankar, Rajeev; Srirama, Satish Narayana</t>
  </si>
  <si>
    <t>Evaluating NiFi and MQTT based serverless data pipelines in fog computing environments</t>
  </si>
  <si>
    <t>10.1016/j.future.2023.09.014</t>
  </si>
  <si>
    <t>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t>
  </si>
  <si>
    <t>QI5VEILT</t>
  </si>
  <si>
    <t>Guerrero, Carlos; Lera, Isaac; Juiz, Carlos</t>
  </si>
  <si>
    <t>Distributed genetic algorithm for application placement in the compute continuum leveraging infrastructure nodes for optimization</t>
  </si>
  <si>
    <t>10.1016/j.future.2024.05.044</t>
  </si>
  <si>
    <t>The increasing complexity of Compute Continuum environments calls for efficient resource optimization techniques. In this paper, we propose and evaluate three distributed designs of a genetic algorithm (GA) for resource optimization, within an increasing degree of distribution. The designs leverage the execution of the GA in the infrastructure devices themselves by dealing with the specific features of this domain: constrained resources and wide geographical distribution of the devices. For their evaluation, we implemented a benchmark case using the NSGA-II for the specific problem of optimizing the application placement, according to the guidelines of our three distributed designs. These three experimental scenarios were compared against a control case, representing a traditional centralized version of this GA algorithm, evaluating solution quality and network overhead. The results show that the design with the lowest distribution degree, which keeps centralized storage of the objective space, achieves comparable solution quality to the traditional approach but incurs a higher network load. The second design, which completely distributes the population between the workers, reduces network overhead but exhibits lower solution diversity while keeping enough good results in terms of optimization objective minimization. The second design demonstrates the highest overall efficiency in optimization performance and network cost. Finally, the proposal with a distributed population that only interchanges solutions between the workers’ neighbors achieves the lowest network load but with compromised solution quality.</t>
  </si>
  <si>
    <t>Q4AVANRD</t>
  </si>
  <si>
    <t>10.1016/j.asoc.2023.111142</t>
  </si>
  <si>
    <t>Virtualized Fog-Cloud Computing (VFCC) has emerged as a promising computing model in both research and industry. Its inherent characteristics, such as real-time service provisioning, resource heterogeneity, flexibility, and scalable computational resources, present new opportunities and challenges in the scheduling of computational workflows. Efficient workflow scheduling is crucial in optimizing resource utilization and improving service delivery in VFCC environments. In this paper, we first present a bi-objective optimization model for the workflow scheduling problem in VFCC systems with the aim of minimizing both the system’s makespan and energy consumption. We then propose an efficient list-based method to solve the model. The proposed method consists of two distinct phases. In the first phase, we employ the Non-dominated Sorting Genetic Algorithm II (NSGA-II) to determine task priorities, establishing the task execution sequence. To ensure both convergence speed and diversity, we implement an intelligent semi-greedy approach when generating the initial population. In the second phase, we introduce an energy and makespan-aware heuristic algorithm to efficiently allocate virtual machines to the prioritized tasks. To evaluate the effectiveness of our proposed method, we conduct extensive experiments using both synthetic and real datasets, including the Epigenomics, Montage, and LIGO graphs. We compare the proposed method with the Heterogeneous Earliest Finish Time (HEFT) and Green-HEFT algorithms in terms of makespan and energy consumption, respectively. Furthermore, we evaluate our proposed method by comparing it to two other algorithms, Multi-objective HEFT (MOHEFT) and Multi-objective ACO (MOACO), using various quality indicators such as generation distance (GD), inverse generation distance (IGD), goal programming approach (GPA), and Hyper volume (HV). The simulation results demonstrate that our method effectively reduces the makespan by 6.38% to 51.19% and energy consumption by 3.52% to 16.49%. Moreover, on average, our method outperforms the other algorithms with an improvement of 2.3%, 5.7%, 9.8%, and 9.34% for the GD, IGD, GPA, and HV metrics, respectively.</t>
  </si>
  <si>
    <t>BKLC6MVP</t>
  </si>
  <si>
    <t>Qiao, Yufei; Shen, Shihao; Zhang, Cheng; Wang, Wenyu; Qiu, Tie; Wang, Xiaofei</t>
  </si>
  <si>
    <t>EdgeOptimizer: A programmable containerized scheduler of time-critical tasks in Kubernetes-based edge-cloud clusters</t>
  </si>
  <si>
    <t>10.1016/j.future.2024.03.007</t>
  </si>
  <si>
    <t>Edge computing has garnered significant attention in recent years, leading to the evolution of more delay-sensitive applications towards a three-tier architecture with edge-cloud collaboration. Concurrently, technologies associated with containerization have been maturing. Notably, K8s(Kubernetes) emerges as a prominent solution for the management of extensive, dynamically evolving, and intricate container clusters. However, optimizing performance in a K8s-based architecture requires careful consideration, as intelligent algorithms cannot be easily rehearsed or retracted, and a poorly functioning algorithm can result in significant damage. To enhance the success rate of time-critical task execution in real production environments, it is crucial to provide an algorithm optimizer for service orchestration and request dispatching, especially when dealing with different services. Traditionally, building a K8s-based experimental system during the early stages of experiments has been time-consuming and involved significant programming efforts. In this paper, we introduce EdgeOptimizer, a decoupled and modularized optimizer for scheduling in multiple clusters. EdgeOptimizer also serves as an online testbed for algorithm verification in K8s-based systems, offering detailed configuration options to facilitate cluster management. By collecting system information and employing an interface-oriented system architecture, EdgeOptimizer enables users to quickly develop, deploy, and switch between various algorithms, significantly reducing the upfront costs associated with setting up an experimental environment. We evaluated the performance of EdgeOptimizer based on overall overload and demonstrated its scalability and effectiveness in verifying the efficacy of service orchestration and request dispatching algorithms for time-critical tasks. Our findings illustrate the value of EdgeOptimizer in improving the overall success rate of executing time-critical tasks, thus highlighting its potential in real-world scenarios.</t>
  </si>
  <si>
    <t>VRZQJA9E</t>
  </si>
  <si>
    <t>CMES - Computer Modeling in Engineering and Sciences</t>
  </si>
  <si>
    <t>Zhang, Tianming; Chen, Zebin; Guo, Haonan; Ren, Bojun; Xie, Quanmin; Tian, Mengke; Wang, Yong</t>
  </si>
  <si>
    <t>A Secure and Cost-Effective Training Framework Atop Serverless Computing for Object Detection in Blasting Sites</t>
  </si>
  <si>
    <t>1526-1492</t>
  </si>
  <si>
    <t>10.32604/cmes.2023.043822</t>
  </si>
  <si>
    <t>The data analysis of blasting sites has always been the research goal of relevant researchers. The rise of mobile blasting robots has aroused many researchers’ interest in machine learning methods for target detection in the field of blasting. Serverless Computing can provide a variety of computing services for people without hardware foundations and rich software development experience, which has aroused people’s interest in how to use it in the field of machine learning. In this paper, we design a distributed machine learning training application based on the AWS Lambda platform. Based on data parallelism, the data aggregation and training synchronization in Function as a Service (FaaS) are effectively realized. It also encrypts the data set, effectively reducing the risk of data leakage. We rent a cloud server and a Lambda, and then we conduct experiments to evaluate our applications. Our results indicate the effectiveness, rapidity, and economy of distributed training on FaaS.</t>
  </si>
  <si>
    <t>T7HR8U2P</t>
  </si>
  <si>
    <t>Ristov, Sashko; Brandacher, Simon; Hautz, Mika; Felderer, Michael; Breu, Ruth</t>
  </si>
  <si>
    <t>CODE: Code once, deploy everywhere serverless functions in federated FaaS</t>
  </si>
  <si>
    <t>10.1016/j.future.2024.06.017</t>
  </si>
  <si>
    <t>Infrastructure-as-Code (IaC) frameworks empower developers to swiftly define and provision their infrastructure with a single click. However, the domain-specific languages (DSLs) utilized for coding the infrastructure often lean towards provider specificity rather than being application-centric. This results in increased developer effort, as they are compelled to duplicate data when deploying serverless functions across diverse regions and providers within federated FaaS environments. To mitigate this challenge, we introduce CODE, a framework engineered to streamline the deployment of functions in federated FaaS settings. CODE facilitates automatic deployment directly from the storage of any provider, eliminating the need for additional development effort to upload or copy deployment packages between disparate providers. Aligned with the guiding principle of “code once, deploy everywhere”, CODE adopts a three-level hierarchy: function → providers → cloud regions. This architectural approach dramatically reduces the lines of code (LoC) in IaC scripts by up to 9.23× when contrasted with prevailing IaC frameworks such as Terraform and Serverless Framework. Additionally, CODE’s unified storage interface slashes LoC by up to 81.8%, both within CODE itself and when coding functions that use storage from providers such as AWS and GCP. In our comprehensive evaluation, we assessed the correlation between deployment package size and deployment time for various functions within a real-world serverless workflow across four regions of AWS and GCP. Our findings indicate that AWS deployment packages are significantly larger, often in the tens of megabytes, compared to GCP. Despite the larger size, AWS deploys these packages up to 6× faster than GCP.</t>
  </si>
  <si>
    <t>NRYYT3K9</t>
  </si>
  <si>
    <t>Optimized resource usage with hybrid auto-scaling system for knative serverless edge computing</t>
  </si>
  <si>
    <t>10.1016/j.future.2023.11.010</t>
  </si>
  <si>
    <t>In the most popular serverless platform - Knative, dynamic resource allocation is implemented using horizontal auto-scaling algorithms to create or delete service instances based on different monitored metrics. However, the assigned resources for each instance are fixed. Vertical scaling up or down assigned resources per instance is required to avoid over-provisioning resources which are limited at the edge. Hybrid (horizontal and vertical) auto-scaling solutions proposed by existing works have several limitations. These solutions are optimized for separated services and get degraded performance when applied in a normal environment with multiple concurrent services. Further, most methods make significant changes to the original Knative platform, and have not been considered to be adopted since then. In this article, instead of Knative modification, we developed separated Kubernetes operators and custom resources (CRs) that can assist the Knative auto-scaler with optimal hybrid auto-scaling configurations based on traffic prediction. First, we characterize each service with a profile of different assigned resource levels pairing with their optimal target Knative’s horizontal scaling request concurrency. Then, based on these profiles, we calculate the best-assigned resources level, target concurrency level, and the number of required instances corresponding to each future time step’s predicted traffic. Finally, these configurations are applied to Knative’s default auto-scaler and services’ CR. Experiments done on our testbed compared our solution with a Knative hybrid auto-scaler solution that does not consider the service’s target request concurrency, and the default Knative horizontal auto-scaler. The results show our solution improvements up to 14% and 20% in terms of resource usage, respectively.</t>
  </si>
  <si>
    <t>PTVQP2NR</t>
  </si>
  <si>
    <t>Zhang, Hang; Wang, Jinsong; Zhang, Hongwei; Bu, Chao</t>
  </si>
  <si>
    <t>Security computing resource allocation based on deep reinforcement learning in serverless multi-cloud edge computing</t>
  </si>
  <si>
    <t>10.1016/j.future.2023.09.016</t>
  </si>
  <si>
    <t>Handling computationally intensive tasks is challenging for user devices (UDs) with limited computing resources. Serverless cloud edge computing solves this problem and reduces maintenance and management. Its crucial function is to allocate computing resources reasonably. However, linking multiple computing resource nodes to perform computing resource allocation and ensure data security is a significant challenge. This study proposes an approach based on action-constrained deep reinforcement learning (DRL) to allocate computing resources securely. First, we consider a model of a serverless multi-cloud edge computing network with multiple computing resource nodes that possess various attribute characteristics. Then, we design a security mechanism to guarantee data security. Afterward, we formalize the network model and objectives and further transform them into a modeling process known as the Markov decision process. Finally, we propose DRL based on action constraints to provide an optimal resource allocation scheduling policy. Simulation results demonstrate that our approach can reduce system costs and improve working performance compared with the comparison schemes.</t>
  </si>
  <si>
    <t>Y4HCLX6P</t>
  </si>
  <si>
    <t>Exploiting microservices and serverless for Digital Twins in the cloud-to-edge continuum</t>
  </si>
  <si>
    <t>10.1016/j.future.2024.03.052</t>
  </si>
  <si>
    <t>In the Industry 4.0 era, Digital Twins (DTs) serve as virtual representations of physical objects and intermediaries between the physical world and the digital realm. DTs require proper modeling, design, and development to ensure their seamless integration along the cloud-to-edge continuum. In particular, this work introduces a microservices-based and serverless-ready model for DTs, laying the foundation for cost-effective DT deployment and orchestration. The joint adoption of microservices and serverless computing offers significant potential to address various challenges, including accommodating variable application requirements, managing load imbalances, and mitigating network faults. The proposed DT model has been implemented in different flavors: two serverless implementations—one that relies on a serverless framework of a cloud provider and one running at the edge on-premises—and a microservices one. These implementations have been experimentally evaluated with particular emphasis on the quality of cyber–physical entanglement. This work not only discusses the advantages and drawbacks of different implementations from a qualitative perspective but also quantitatively evaluates them with the in-the-field collection of experimental performance results. Notably, we report that a serverless implementation typically performs an order of magnitude worse than a microservices one in terms of entanglement, i.e., hundreds vs. tens of milliseconds.</t>
  </si>
  <si>
    <t>GA46KPPY</t>
  </si>
  <si>
    <t>Bauer, André; Pan, Haochen; Chard, Ryan; Babuji, Yadu; Bryan, Josh; Tiwari, Devesh; Foster, Ian; Chard, Kyle</t>
  </si>
  <si>
    <t>The globus compute dataset: An open function-as-a-service dataset from the edge to the cloud</t>
  </si>
  <si>
    <t>Nguyen, Tam n.</t>
  </si>
  <si>
    <t>Holistic cold-start management in serverless computing cloud with deep learning for time series</t>
  </si>
  <si>
    <t>10.1016/j.future.2023.12.011</t>
  </si>
  <si>
    <t>Serverless computing is the most innovative and affordable cloud service model that improves three strategic business objectives: flexibility, efficiency, and innovation. Compared to monolithic applications, serverless computing applications scale better as the applications are further broken down into small building blocks of functions. Resources are assigned per function and can scale up as function requests increase. Hence, serverless computing has been increasingly employed in high-impact areas such as banking and health care. An issue affecting serverless computing’s performance is cold-start — the delays in assigning resources for function execution. Such delays can violate the Service Level Agreements especially those of time-sensitive applications. Current cold-start management policies operate in silos with narrow focuses on function, application, runtime, or infrastructure levels. Such policies do not incorporate higher-level requirements like those in the Service Level Agreements. Additionally, operating in silos does not follow the principle of continuous feedback loops among management policies at different system levels, which is essential for AI-driven self-adaptive future computing systems. Therefore, this paper proposes a novel 2-prong cold-start management policy that allows feedback loops with other higher management policies and orchestrates lower-level cold-start optimization policies. The main policy driver is the temporal convolutional network (TCN) model that can predict function instance arrivals from 5 to 15 min into the future. Evaluation strategies were proposed for both the TCN model and the management policy. Evaluation results show that the TCN model performs reliably across two trace datasets from leading serverless computing providers. Notably, the proposed cold-start policy evaluation plan allows organizations to realistically evaluate their cold-start management in ways that have never been done before.</t>
  </si>
  <si>
    <t>R64R4IBR</t>
  </si>
  <si>
    <t>Loconte, Davide; Ieva, Saverio; Pinto, Agnese; Loseto, Giuseppe; Scioscia, Floriano; Ruta, Michele</t>
  </si>
  <si>
    <t>Expanding the cloud-to-edge continuum to the IoT in serverless federated learning</t>
  </si>
  <si>
    <t>10.1016/j.future.2024.02.024</t>
  </si>
  <si>
    <t>Serverless computing enables greater flexibility and efficiency in the cloud-to-edge continuum. Artificial Intelligence and Machine Learning (AI/ML) applications benefit greatly from this paradigm, as they need to gather, preprocess, aggregate and analyze data at various scales. In such contexts, the increasing hardware/software resource availability of Internet of Things (IoT) devices provides the opportunity to exploit them not only as data sources in AI/ML infrastructures, but also as computational nodes for model training and inference; nevertheless, comprehensive frameworks are still mostly missing. This work introduces an innovative serverless computing architecture which expands the cloud-to-edge continuum toward IoT devices. The same functions can run on IoT, edge and cloud nodes with minimal to no code modification and they can be invoked through a uniform interface. A federated learning framework is defined based on the proposed architecture, exploiting an existing IoT-oriented ML algorithm in a novel way. Notably, IoT nodes are used for both federated training and local inference tasks. A full prototype implementation has been built with off-the-shelf technologies and devices. A case study on federated machine learning for activity recognition and experiments have been conducted to validate key elements of the proposal.</t>
  </si>
  <si>
    <t>GF76YZ3B</t>
  </si>
  <si>
    <t>Finol, Gerard; París, Gerard; García-López, Pedro; Sánchez-Artigas, Marc</t>
  </si>
  <si>
    <t>Exploiting inherent elasticity of serverless in algorithms with unbalanced and irregular workloads</t>
  </si>
  <si>
    <t>10.1016/j.jpdc.2024.104891</t>
  </si>
  <si>
    <t>Function-as-a-Service execution model in serverless computing has been successful in running large-scale computations like MapReduce, linear algebra, and machine learning. However, little attention has been given to executing highly-dynamic parallel applications with unbalanced and irregular workloads. These algorithms are difficult to execute with good parallel efficiency due to the challenge of provisioning the required computing resources in time, leading to resource over- and under-provisioning in clusters of static size. We propose that the elasticity and fine-grained “pay-as-you-go model” of the FaaS model can be a key enabler for effectively running these algorithms in the cloud. We use a simple serverless executor pool abstraction, and evaluate it using three algorithms with unbalanced and irregular workloads. Results show that their serverless implementation can outperform a static Spark cluster of large virtual machines by up to 55% with the same cost, and can even outperform a single large virtual machine running locally.</t>
  </si>
  <si>
    <t>4HE6RLA9</t>
  </si>
  <si>
    <t>Mendes, Aldo H.D.; Rosa, Michel J.F.; Marotta, Marcelo A.; Araujo, Aleteia; Melo, Alba C.M.A.; Ralha, Célia Ghedini</t>
  </si>
  <si>
    <t>MAS-Cloud+: A novel multi-agent architecture with reasoning models for resource management in multiple providers</t>
  </si>
  <si>
    <t>10.1016/j.future.2023.12.022</t>
  </si>
  <si>
    <t>Nowadays, scientific and commercial applications are often deployed to cloud environments requiring multiple resource types. This scenario increases the necessity for efficient resource management. However, efficient resource management remains challenging due to the complex nature of modern cloud-distributed systems since resources involve different characteristics, technologies, and financial costs. Thus, optimized cloud resource management to support the heterogeneous nature of applications balancing cost, time, and waste remains a challenge. Multi-agent technologies can offer noticeable improvements for resource management, with intelligent agents deciding on Virtual Machine (VM) resources. This article proposes MAS-Cloud+, a novel agent-based architecture for predicting, provisioning, and monitoring optimized cloud computing resources. MAS-Cloud+ implements agents with three reasoning models including heuristic, formal optimization, and metaheuristic. MAS-Cloud+ instantiates VMs considering Service Level Agreement (SLA) on cloud platforms, prioritizing user needs considering time, cost, and waste of resources providing appropriate selection for evaluated workloads. To validate MAS-Cloud+, we use a DNA sequence comparison application subjected to different workload sizes and a comparative study with state-of-the-art work with Apache Spark benchmark applications executed on the AWS EC2. Our results show that to execute the sequence comparison application, the best performance was obtained by the optimization model, whereas the heuristic model presented the best cost. By providing the choice among multiple reasoning models, our results show that MAS-Cloud+ could provide a more cost-effective selection of the instances reducing ≈58% of execution average cost of WorkdCount, Sort, and PageRank BigDataBench benchmarking workloads. As for the execution time, the WorkdCount and PageRank present reduction, the latter with ≈58%. The results indicate a promising solution for efficient cloud resource management.</t>
  </si>
  <si>
    <t>AB8THRAV</t>
  </si>
  <si>
    <t>Céspedes Sisniega, Jaime; Rodríguez, Vicente; Moltó, Germán; López García, Álvaro</t>
  </si>
  <si>
    <t>Efficient and scalable covariate drift detection in machine learning systems with serverless computing</t>
  </si>
  <si>
    <t>10.1016/j.future.2024.07.010</t>
  </si>
  <si>
    <t>As machine learning models are increasingly deployed in production, robust monitoring and detection of concept and covariate drift become critical. This paper addresses the gap in the widespread adoption of drift detection techniques by proposing a serverless-based approach for batch covariate drift detection in ML systems. Leveraging the open-source OSCAR framework and the open-source Frouros drift detection library, we develop a set of services that enable parallel execution of two key components: the ML inference pipeline and the batch covariate drift detection pipeline. To this end, our proposal takes advantage of the elasticity and efficiency of serverless computing for ML pipelines, including scalability, cost-effectiveness, and seamless integration with existing infrastructure. We evaluate this approach through an edge ML use case, showcasing its operation on a simulated batch covariate drift scenario. Our research highlights the importance of integrating drift detection as a fundamental requirement in developing robust and trustworthy AI systems and encourages the adoption of these techniques in ML deployment pipelines. In this way, organizations can proactively identify and mitigate the adverse effects of covariate drift while capitalizing on the benefits offered by serverless computing.</t>
  </si>
  <si>
    <t>URMA77A9</t>
  </si>
  <si>
    <t>A framework for offloading and migration of serverless functions in the Edge–Cloud Continuum</t>
  </si>
  <si>
    <t>10.1016/j.pmcj.2024.101915</t>
  </si>
  <si>
    <t>Function-as-a-Service (FaaS) has emerged as an evolution of traditional Cloud service models, allowing users to define and execute pieces of codes (i.e., functions) in a serverless manner, with the provider taking care of most operational issues. With the unending growth of resource availability in the Edge-to-Cloud Continuum, there is increasing interest in adopting FaaS near the Edge as well, to better support geo-distributed and pervasive applications. However, as the existing FaaS frameworks have mostly been designed with Cloud in mind, new architectures are necessary to cope with the additional challenges of the Continuum, such as higher heterogeneity, network latencies, limited computing capacity. In this paper, we present an extended version of Serverledge, a FaaS framework designed to span Edge and Cloud computing landscapes. Serverledge relies on a decentralized architecture, where each FaaS node is able to autonomously schedule and execute functions. To take advantage of the computational capacity of the infrastructure, Serverledge nodes also rely on horizontal and vertical function offloading mechanisms. In this work we particularly focus on the design of mechanisms for function offloading and live function migration across nodes. We implement these mechanisms in Serverledge and evaluate their impact and performance considering different scenarios and functions.</t>
  </si>
  <si>
    <t>JVAJKFK8</t>
  </si>
  <si>
    <t>28th International Conference on Knowledge Based and Intelligent information and Engineering Systems (KES 2024)</t>
  </si>
  <si>
    <t>Olariu, Florin; Alboaie, Lenuța; Grămescu, Rareș</t>
  </si>
  <si>
    <t>Beyond Cloud Boundaries: An Analytical Case Study on the Migration of a Modular Monolith to Azure, AWS, and Google Cloud Platform</t>
  </si>
  <si>
    <t>10.1016/j.procs.2024.09.393</t>
  </si>
  <si>
    <t>This study primarily explores the feasibility of transferring a modular monolith from an on-premises to Google Cloud Platform (GCP) utilizing the Lift and Shift technique, with a focus on cost-effectiveness. Our objective is to identify cost-effective ways to host the application in the cloud. Our application, Hermit Portal, is built with Angular for the front end and .NET Core for the back end, with Clean Architecture serving as the primary design pattern. It examines the impact of architectural decisions on a modular monolith use case. In Section 2, we look at several cloud models, such as IaaS, PaaS, and Serverless. Our findings indicate that the IaaS model can be a very appealing option for GCP in terms of cost, with the potential to decrease costs by about 65%. We can conclude that, in terms of pricing, the GCP IaaS is the best choice based on our earlier research. We also discovered that the initial prices of PaaS can be higher due to the higher cost of SQL Server instances compared to on-premises deployments (this is also true for Amazon Web Services). To address this, we advise moving to a less expensive database (PostgreSQL or MySQL). This is made feasible by the flexibility of our architecture, which allows changes to other layers, such as databases, with relatively little influence on costs. Three cloud service providers (Amazon Web Services, Google Cloud Platform, and Microsoft Azure) will be compared in Section 3. Based on the insights gathered from this comparison, we will suggest enhancements to facilitate a seamless cloud migration for this category of applications. We will also include two essential components (Compute and Storage) that could provide useful data for a multi-cloud migration strategy or a hybrid-cloud migration strategy.</t>
  </si>
  <si>
    <t>9WUS935J</t>
  </si>
  <si>
    <t>Aslanpour, Mohammad Sadegh; Toosi, Adel N.; Cheema, Muhammad Aamir; Chhetri, Mohan Baruwal; Salehi, Mohsen Amini</t>
  </si>
  <si>
    <t>Load balancing for heterogeneous serverless edge computing: A performance-driven and empirical approach</t>
  </si>
  <si>
    <t>10.1016/j.future.2024.01.020</t>
  </si>
  <si>
    <t>Serverless edge systems simplify the deployment of real-time AI-based Internet of Things (IoT) applications at the edge. However, the heterogeneity of edge computing nodes – in terms of both hardware and software – makes load balancing challenging in these systems. In this paper, we propose a performance-driven, empirical weight-tuning approach to achieve effective load balancing based on the characteristics and capabilities of the nodes. By extensively profiling the nodes, we gather knowledge on performance metrics such as throughput, energy efficiency, response time, AI accuracy, and cost. Using this acquired knowledge, we introduce a weighted round-robin strategy to optimize the performance metrics according to their observed significance. To address multiple objectives, we introduce a multi-objective method that aims to strike a balance between any arbitrary set of performance objectives simultaneously. Additionally, we explore a coordinated distributed approach to overcome the limitations of centralized load balancing. Next, we introduce Hedgi, a heterogeneous serverless edge architecture designed to efficiently configure and utilize the derived load balancing policies, validated empirically. To demonstrate the practicality of Hedgi, we containerize and serverlessize a real-time object detection application. Extensive empirical studies are conducted using Hedgi to evaluate the performance of the proposed load balancing approach. The results provide valuable insights into the design trade-offs of various load balancing policies and system designs in the heterogeneous serverless edge.</t>
  </si>
  <si>
    <t>FZJ5AAEG</t>
  </si>
  <si>
    <t>10.1016/j.future.2024.05.001</t>
  </si>
  <si>
    <t>In contemporary computing paradigms, the evolution from cloud computing to fog computing and the recent emergence of federated-fog computing have introduced new challenges pertaining to semantic interoperability, particularly in the context of real-time applications. Fog computing, by shifting computational processes closer to the network edge at the local area network level, aims to mitigate latency and enhance efficiency by minimising data transfers to the cloud. Building upon this, federated-fog computing extends the paradigm by distributing computing resources across diverse organisations and locations, while maintaining centralised management and control. This research article addresses the inherent problematics in achieving semantic interoperability within the evolving architectures of cloud computing, fog computing, and federated-fog computing. Experimental investigations are conducted on a diverse node-based testbed, simulating various end-user devices, to emphasise the critical role of semantic interoperability in facilitating seamless data exchange and integration. Furthermore, the efficacy of federated-fog computing is rigorously evaluated in comparison to traditional fog and cloud computing frameworks. Specifically, the assessment focuses on critical factors such as latency time and computational resource utilisation while processing real-time data streams generated by Internet of Things (IoT) devices. The findings of this study underscore the advantages of federated-fog computing over conventional cloud and fog computing paradigms, particularly in the realm of real-time IoT applications demanding high performance (lowering CPU usage to 20%) and low latency (with picks up to 300ms). The research contributes valuable insights into the optimisation of processing architectures for contemporary computing paradigms, offering implications for the advancement of semantic interoperability in the context of emerging federated-fog computing for IoT applications.</t>
  </si>
  <si>
    <t>KMNWWZBK</t>
  </si>
  <si>
    <t>Karamzadeh, Amirmohammad; Shameli-Sendi, Alireza</t>
  </si>
  <si>
    <t>Reducing cold start delay in serverless computing using lightweight virtual machines</t>
  </si>
  <si>
    <t>10.1016/j.jnca.2024.104030</t>
  </si>
  <si>
    <t>In recent years, serverless computing has gained considerable attention in academic, professional, and business circles. Unique features such as code development flexibility and the cost-efficient pay-as-you-go pricing model have led to predictions of widespread adoption of serverless services. Major players in the cloud computing sector, including industry giants like Amazon, Google, and Microsoft, have made significant advancements in the field of serverless services. However, cloud computing faces complex challenges, with two prominent ones being the latency caused by cold start instances and security vulnerabilities associated with container escapes. These challenges undermine the smooth execution of isolated functions, a concern amplified by technologies like Google gVisor and Kata Containers. While the integration of tools like lightweight virtual machines has alleviated concerns about container escape vulnerabilities, the primary issue remains the increased delay experienced during cold start instances in the execution of serverless functions. The purpose of this research is to propose an architecture that reduces cold start delay overhead by utilizing lightweight virtual machines within a commercial architecture, thereby achieving a setup that closely resembles real-world scenarios. This research employs supervised learning methodologies to predict function invocations by leveraging the execution patterns of other program functions. The goal is to proactively mitigate cold start scenarios by invoking the target function before actual user initiation, effectively transitioning from cold starts to warm starts. In this study, we compared our approach with two fixed and variable window strategies. Commercial platforms like Knative, OpenFaaS, and OpenWhisk typically employ a fixed 15-minute window during cold starts. In contrast to these platforms, our approach demonstrated a significant reduction in cold start incidents. Specifically, when calling a function 200 times with 5, 10, and 20 invocations within one hour, our approach achieved reductions in cold starts by 83.33%, 92.13%, and 90.90%, respectively. Compared to the variable window approach, which adjusts the window based on cold start values, our proposed approach was able to prevent 82.92%, 91.66%, and 90.56% of cold starts for the same scenario. These results highlight the effectiveness of our approach in significantly reducing cold starts, thereby enhancing the performance and responsiveness of serverless functions. Our method outperformed both fixed and variable window strategies, making it a valuable contribution to the field of serverless computing. Additionally, the implementation of pre-invocation strategies to convert cold starts into warm starts results in a substantial reduction in the execution time of functions within lightweight virtual machines.</t>
  </si>
  <si>
    <t>7VSC5DN2</t>
  </si>
  <si>
    <t>Ali, Sijjad; Wadho, Shuaib Ahmed; Yichiet, Aun; Gan, Ming Lee; Lee, Chen Kang</t>
  </si>
  <si>
    <t>Advancing cloud security: Unveiling the protective potential of homomorphic secret sharing in secure cloud computing</t>
  </si>
  <si>
    <t>10.1016/j.eij.2024.100519</t>
  </si>
  <si>
    <t>Cloud computing security and data protection are becoming increasingly critical as its use increases. The research we present demonstrates how undercover sharing techniques and homomorphic encryption can be combined to protect private information in cloud computing scenarios. We create a reliable, private, and confidential computation platform by utilizing this dual approach. Our strategy involves protecting data while dividing it among multiple servers. By using this distribution, the system is less likely to suffer from single points of failure and has a higher security level. To ensure information privacy and security, data encryption restricts access to authorized individuals only. As an additional feature, we employ homomorphic encryption to enable operations on encrypted data without direct access to the originals. By using this feature, sensitive data is protected from disclosure or misuse while being processed. Therefore, original data confidentiality can be preserved when computing on encrypted shares. Several performance tests were conducted to prove our strategy’s practicality and effectiveness. Our considerations extended beyond encryption and decryption time and processing overhead. In our research, we demonstrate that our method strikes the right balance between security and computational efficiency.</t>
  </si>
  <si>
    <t>46H6AR2G</t>
  </si>
  <si>
    <t>Risco, Sebastián; Alarcón, Caterina; Langarita, Sergio; Caballer, Miguel; Moltó, Germán</t>
  </si>
  <si>
    <t>Rescheduling serverless workloads across the cloud-to-edge continuum</t>
  </si>
  <si>
    <t>10.1016/j.future.2023.12.015</t>
  </si>
  <si>
    <t>Serverless computing was a breakthrough in Cloud computing due to its high elasticity capabilities and fine-grained pay-per-use model offered by the main public Cloud providers. Meanwhile, open-source serverless platforms supporting the FaaS (Function as a Service) model allow users to take advantage of many of their benefits while operating on the on-premises platforms of organizations. This opens the possibility to deploy and exploit them on the different layers of the cloud-to-edge continuum, either on IoT (Internet of Things) devices located at the Edge (i.e. next to data acquisition devices), in on-premises clusters closer to the data sources (i.e. Fog computing) or directly on the Cloud. This paper presents two strategies to mitigate the overload that disparate data ingestion rates may cause in low-powered devices at the Edge or Fog layers. To this end, it is proposed to delegate and reschedule serverless jobs between the different layers of the cloud-to-edge continuum using an open-source platform for event-driven file processing. To demonstrate the performance of these strategies, a use case for fire detection is proposed that includes processing in the Fog via minified Kubernetes clusters located near the Edge, in the private Cloud via on-premises elastic clusters and, finally, in the public Cloud by using the AWS (Amazon Web Services) Lambda FaaS service. The results indicate that these strategies can mitigate overloads in use cases involving processing across the cloud-to-edge continuum by coordinating several layers of computing resources.</t>
  </si>
  <si>
    <t>NMFKXYPT</t>
  </si>
  <si>
    <t>Czentye, János; Sonkoly, Balázs</t>
  </si>
  <si>
    <t>Serverless application composition leveraging function fusion: Theory and algorithms</t>
  </si>
  <si>
    <t>10.1016/j.future.2023.12.010</t>
  </si>
  <si>
    <t>Serverless computing is a novel cloud computing paradigm enabling flexible, cost-efficient and fine-granular development of cloud-native applications, although without any guarantees on scheduling or execution times. Thus, various high-level solutions have been proposed in recent years to find proper configurations of individual FaaS functions, while considering user-given QoS requirements. However, the ever-increasing complexity of invocation patterns among stateless functions, externalized management of intermediate states, and diverse public cloud resources pose new challenges to the composition of highly data-intensive serverless applications. In this paper, we fill this gap by proposing novel algorithms based on the emerging function fusion technique, along with the related cost/performance models of composite functions supporting implicit instance parallelization and internal state propagation. We prove the NP-completeness of the underlying latency-constrained tree partitioning problem, and design a bicriteria approximation scheme and a greedy heuristic to derive cost-efficient deployment configurations in polynomial time. With the help of extensive simulations using synthetic call graphs generated from public cloud traces, we demonstrate the applicability and superior runtime performance of our proposed methods compared to state-of-the-art solutions. In addition, we showcase that further cost-reduction of up to 3–6 % can be achieved compared to the optimal partitioning with the allowance of tolerable latency violations.</t>
  </si>
  <si>
    <t>3U4ECU4A</t>
  </si>
  <si>
    <t>Merlino, Giovanni; Tricomi, Giuseppe; D’Agati, Luca; Benomar, Zakaria; Longo, Francesco; Puliafito, Antonio</t>
  </si>
  <si>
    <t>FaaS for IoT: Evolving Serverless towards Deviceless in I/Oclouds</t>
  </si>
  <si>
    <t>Eizaguirre, Germán T.; Sánchez-Artigas, Marc</t>
  </si>
  <si>
    <t>A Seer knows best: Auto-tuned object storage shuffling for serverless analytics</t>
  </si>
  <si>
    <t>10.1016/j.jpdc.2023.104763</t>
  </si>
  <si>
    <t>Serverless platforms offer high resource elasticity and pay-as-you-go billing, making them a compelling choice for data analytics. To craft a “pure” serverless solution, the common practice is to transfer intermediate data between serverless functions via serverless object storage (IBM COS; AWS S3). However, prior works have led to inconclusive results about the performance of object storage systems, since they have left large margin for optimization. To verify that object storage has been underrated, we devise a novel shuffle manager for serverless data analytics called Seer. Specifically, Seer dynamically chooses between two shuffle algorithms to maximize performance. The algorithm choice is made online based on some predictive models, and very importantly, without end users having to specify intermediate shuffle data sizes at the time of the job submission. We integrate Seer with PyWren-IBM [31], a well-known serverless analytics framework, and evaluate it against both serverful (e.g., Spark) and serverless systems (e.g., Google BigQuery, Caerus [46] and SONIC [22]). Our results certify that our new shuffle manager can deliver performance improvements over them.</t>
  </si>
  <si>
    <t>2E9BPLGL</t>
  </si>
  <si>
    <t>Ghorbian, Mohsen; Ghobaei-Arani, Mostafa</t>
  </si>
  <si>
    <t>Function offloading approaches in serverless computing: A Survey</t>
  </si>
  <si>
    <t>10.1016/j.compeleceng.2024.109832</t>
  </si>
  <si>
    <t>In recent years, serverless computing has become one of the popular approaches to developing and running applications, allowing developers to run their code directly in the cloud without worrying about managing server infrastructure. One of the critical aspects of serverless computing is offloading approaches, which refers to transferring computing tasks or data to other locations to reduce the processing load of local devices. Considering the use of different approaches and strategies in the offloading process in serverless computing, not choosing the right approach can cause the unloading process to face challenges such as network delay, security problems, and complexity of resource management. Therefore, a detailed understanding of the loading approaches used in serverless computing can significantly reduce the challenges in this process. This paper provides a comprehensive and systematic review of various commonly used offloading approaches in serverless computing in the form of a taxonomy. The applied approaches are based on machine learning (ML), frameworks, in-network computing (INC), and heuristics. This classification is done to identify the strengths and weaknesses of each of these approaches to help developers improve the productivity and efficiency of their systems by choosing the best offloading strategies. Another goal of this article is to identify and analyze open challenges and issues related to the offloading process in serverless computing to propose effective solutions to these challenges and provide future research directions. Finally, this article expands the existing knowledge in the offloading field and creates new fields for research and development.</t>
  </si>
  <si>
    <t>VCX7CETV</t>
  </si>
  <si>
    <t>de Lima, Everton C.; Rossi, Fábio D.; Luizelli, Marcelo C.; Calheiros, Rodrigo N.; Lorenzon, Arthur F.</t>
  </si>
  <si>
    <t>A neural network framework for optimizing parallel computing in cloud servers</t>
  </si>
  <si>
    <t>10.1016/j.sysarc.2024.103131</t>
  </si>
  <si>
    <t>Energy efficiency has become a major focus in optimizing hardware resource usage for Cloud servers. One approach widely employed to enhance the execution of parallel applications is thread-level parallelism (TLP) exploitation. This technique leverages multiple threads to improve computational efficiency and performance. However, the increasing heterogeneity of resources in cloud environments and the complexity of selecting the optimal configuration for each application pose a significant challenge to cloud users due to the massive number of possible configurations and the need to effectively harness TLP in diverse hardware setups to achieve optimal energy efficiency and performance. To address this challenge, we propose TLP-Allocator, an artificial neural network (ANN) optimization strategy that uses hardware and software metrics to build and train an ANN model. It predicts worker node and thread count combinations that provide optimal energy-delay product (EDP) results. In experiments using ten well-known applications on a private cloud with heterogeneous resources, we show that TLP-Allocator predicts combinations that yield EDP values close to the best achieved by an exhaustive search. It also improves the overall EDP by 38.2% compared to state-of-the-art workloads scheduling on cloud environments.</t>
  </si>
  <si>
    <t>YZUCBPWJ</t>
  </si>
  <si>
    <t>Huang, Yi-rui; Zhang, Jing; Hou, Hong-ming; Ye, Xiu-cai; Chen, Yi</t>
  </si>
  <si>
    <t>GeoPM-DMEIRL: A deep inverse reinforcement learning security trajectory generation framework with serverless computing</t>
  </si>
  <si>
    <t>10.1016/j.future.2024.01.001</t>
  </si>
  <si>
    <t>Vehicle trajectory data is essential for traffic management and location-based services. However, the release of trajectories raises serious privacy concerns because they contain sensitive information, such as home addresses and workplaces, etc, making it indispensable to consider privacy protection when releasing trajectory data. It is urgent to reconcile data utility with privacy in trajectory generation calls for advanced methods that adhere to real-world traffic rules. Leveraging serverless computing for deep learning provides an efficient solution, bypassing infrastructure complexities to handle the scale trajectory data. In this paper, a Geo-Piecewise Mechanism Deep Maximum Entropy Inverse Reinforcement Learning (GeoPM-DMEIRL) is proposed for secure trajectory generation, which consists of three key components, namely GeoPM, A2C reinforcement learning and DMEIRL. Firstly, GeoPM is a novel local differential privacy mechanism that incorporates Geo-aware gridding techniques. The Piecewise Mechanism is used to perturb the user trajectory while ensuring that the perturbed trajectory conforms to real-world traffic rules. Secondly, an A2C reinforcement learning network is refined to train the optimal trajectory generation strategy. Thirdly, Deep Maximum Entropy Inverse Reinforcement Learning is improved to train the weights of the A2C reward function. Finally, real-world data are collected in the experiments and the serverless computing platform AWS Lambda is used for training the reinforcement learning models. Experimental results show that our proposed GeoPM-DMEIRL framework can effectively resist user re-identification attacks, which can improve the utility by an average of 54.605% and enhance the privacy by an average of 30.678%. Meanwhile, GeoPM-DMEIRL is able to maintain the utility of the data while protecting the privacy of the user’s trajectories.</t>
  </si>
  <si>
    <t>QMFJXDSV</t>
  </si>
  <si>
    <t>Filinis, Nikos; Tzanettis, Ioannis; Spatharakis, Dimitrios; Fotopoulou, Eleni; Dimolitsas, Ioannis; Zafeiropoulos, Anastasios; Vassilakis, Constantinos; Papavassiliou, Symeon</t>
  </si>
  <si>
    <t>Intent-driven orchestration of serverless applications in the computing continuum</t>
  </si>
  <si>
    <t>10.1016/j.future.2023.12.032</t>
  </si>
  <si>
    <t>Following the emergence of Internet of Things (IoT) and edge computing technologies and the development of distributed applications with strict Quality of Service (QoS) requirements, a transition is underway from centralized computing models to distributed computing continuum systems. The latter provide abstractions of the available resources, while they lead to the development of orchestration mechanisms with increased distributed intelligence and autonomy characteristics. These characteristics make the computing continuum suitable for managing serverless computing applications, considering their loose coupling with the resources and the need for reactiveness and efficiency to serve dynamic workloads in the edge and cloud part of the infrastructure. This paper presents an intent-based approach for the orchestration of a function chain over an edge and cloud infrastructure. We propose a Reinforcement Learning (RL) based autoscaling method that incorporates a reward function that aims to provide optimal utilization of resources and timely autoscaling of the functions, taking advantage of methods for workload prediction. Based on a high-level intent, the proposed optimization problem dictates the scheduling of the functions, minimizing the communication overhead and transformation cost while also considering the energy efficiency of the infrastructure. The proposed solution is evaluated with other state-of-the-art techniques for autoscaling and scheduling of serverless functions in a small edge infrastructure. Our solution provides 1.52% QoS violations with a slight increase in the deployed resources, while also significantly reducing the total cost and power consumption for the deployment of the function chain.</t>
  </si>
  <si>
    <t>MDUIYVRR</t>
  </si>
  <si>
    <t>Datta, Somoshree; Addya, Sourav Kanti; Ghosh, Soumya K.</t>
  </si>
  <si>
    <t>ESMA: Towards elevating system happiness in a decentralized serverless edge computing framework</t>
  </si>
  <si>
    <t>10.1016/j.jpdc.2023.104762</t>
  </si>
  <si>
    <t>Due to the rapid growth in the adoption of numerous technologies, such as smartphones and the Internet of Things (IoT), edge and serverless computing have started gaining momentum in today's computing infrastructure. It has led to the production of huge amounts of data and has also resulted in increased network traffic, which if not managed well can cause network congestion. To address this and maintain the quality of service (QoS), in this work, a novel dispatch (destination selection) algorithm called Egalitarian Stable Matching Algorithm (ESMA) for faster data processing has been developed while also considering the best use of server resources in a decentralized Serverless-Edge environment. This will allow us to effectively utilize the enormous volumes of data that are generated. The proposed algorithm has been able to achieve lower overall dissatisfaction scores for the entire system. Individually, the client's happiness as well as the server's happiness have improved over the baseline. Moreover, there has been a drop of 25.7% in the total execution time and the total network resources consumed are lower as compared to the baseline algorithm as well as random-allocation algorithm.</t>
  </si>
  <si>
    <t>LKYW3XH3</t>
  </si>
  <si>
    <t>Dehury, Chinmaya Kumar; Poojara, Shivananda; Srirama, Satish Narayana</t>
  </si>
  <si>
    <t>Def-DReL: Towards a sustainable serverless functions deployment strategy for fog-cloud environments using deep reinforcement learning</t>
  </si>
  <si>
    <t>10.1016/j.asoc.2023.111179</t>
  </si>
  <si>
    <t>Modern cloud applications are composed of tens of thousands of environment-agnostic serverless functions that can be deployed in either a fog or cloud environment. The key to sustaining fog computing is to offload the maximum amounts of computation to the cloud, and accommodate as many users as possible without compromising quality of service (QoS). However, recent research mainly focuses on assigning maximum resources to serverless applications from the fog node and not taking full advantage of the cloud environment, leading to a lack of sustainability in fog computing. As a way to fill this research gap, we explored what percentage of a user’s request should be handled by fog and cloud. As a result, we proposed Def-DReL, a Systematic Deployment of Serverless Functions in Fog and Cloud environments using Deep Reinforcement Learning, by taking into account several real-life parameters, including distance from a nearby fog node and latency, priority of the user, priority of serverless applications, and resource usage. Def-DReL’s performance is further compared with that of recent related algorithms. Simulation and comparison results clearly demonstrate a lesser number of serverless functions from each user (with approximately 10% improvement) being deployed in the fog node, resulting in accommodating limited fog resources to more number of users. The other simulation results show its superiority over other algorithms as well as its applicability to real-life scenarios.</t>
  </si>
  <si>
    <t>PXC8WEBX</t>
  </si>
  <si>
    <t>Gimeno Sarroca, Pablo; Sánchez-Artigas, Marc</t>
  </si>
  <si>
    <t>MLLess: Achieving cost efficiency in serverless machine learning training</t>
  </si>
  <si>
    <t>10.1016/j.jpdc.2023.104764</t>
  </si>
  <si>
    <t>Function-as-a-Service (FaaS) has raised a growing interest in how to “tame” serverless computing to enable domain-specific use cases such as data-intensive applications and machine learning (ML), to name a few. Recently, several systems have been implemented for training ML models. Certainly, these research articles are significant steps in the correct direction. However, they do not completely answer the nagging question of when serverless ML training can be more cost-effective compared to traditional “serverful” computing. To help in this endeavor, we propose MLLess, a FaaS-based ML training prototype built atop IBM Cloud Functions. To boost cost-efficiency, MLLess implements two innovative optimizations tailored to the traits of serverless computing: on one hand, a significance filter, to make indirect communication more effective, and on the other hand, a scale-in auto-tuner, to reduce cost by benefiting from the FaaS sub-second billing model (often per 100 ms). Our results certify that MLLess can be 15X faster than serverful ML systems [27] at a lower cost for sparse ML models that exhibit fast convergence such as sparse logistic regression and matrix factorization. Furthermore, our results show that MLLess can easily scale out to increasingly large fleets of serverless workers.</t>
  </si>
  <si>
    <t>ABW8T53P</t>
  </si>
  <si>
    <t>Agiollo, Andrea; Bellavista, Paolo; Mendula, Matteo; Omicini, Andrea</t>
  </si>
  <si>
    <t>EneA-FL: Energy-aware orchestration for serverless federated learning</t>
  </si>
  <si>
    <t>10.1016/j.future.2024.01.007</t>
  </si>
  <si>
    <t>Federated Learning (FL) represents the de-facto standard paradigm for enabling distributed learning over multiple clients in real-world scenarios. Despite the great strides reached in terms of accuracy and privacy awareness, the real adoption of FL in real-world scenarios, in particular in industrial deployment environments, is still an open thread. This is mainly due to privacy constraints and to the additional complexity stemming from the set of hyperparameters to tune when employing AI techniques on bandwidth-, computing-, and energy-constrained nodes. Motivated by these issues, we focus on scenarios where participating clients are characterised by highly heterogeneous computing capabilities and energy budgets proposing EneA-FL, an innovative scheme for serverless smart energy management. This novel approach dynamically adapts to optimise the training process while fostering seamless interaction between Internet of Things (IoT) devices and edge nodes. In particular, the proposed middleware provides a containerised software module that efficiently manages the interaction of each worker node with the central aggregator. By monitoring local energy budget, computational capabilities, and target accuracy, EneA-FL intelligently takes informed decisions about the inclusion of specific nodes in the subsequent training rounds, effectively balancing the tripartite trade-off between energy consumption, training time, and final accuracy. Finally, in a series of extensive experiments across diverse scenarios, our solution demonstrates impressive results, achieving between 30% and 60% lower energy consumption against popular client selection approaches available in the literature while being up to 3.5 times more efficient than standard FL solutions.</t>
  </si>
  <si>
    <t>PXC5S84G</t>
  </si>
  <si>
    <t>Wang, Luying; Liu, Anfeng; Xiong, Neal N.; Zhang, Shaobo; Wang, Tian; Dong, Mianxiong</t>
  </si>
  <si>
    <t>SD-SRF: An Intelligent Service Deployment Scheme for Serverless-operated Cloud-Edge Computing in 6G Networks</t>
  </si>
  <si>
    <t>10.1016/j.future.2023.09.027</t>
  </si>
  <si>
    <t>With the development of serverless computing, developers can implement and deploy business applications as a combination of stateless functions. Although originally proposed for cloud computing, serverless computing is gradually applied to cloud-edge systems for service deployment to provide users with high-quality, low-latency services. However, optimized service deployment in 6G networks is a very challenging issue because of the vast number of deployable devices in the network, and its permutations are highly exponential. In this paper, we propose optimized service deployment schemes for online and offline, respectively, to minimize the overall latency at a lower cost. (1) First, a SD-SRF algorithm based on the greedy algorithm is proposed to optimize the service deployment for a multi-layer edge network, which consists of two phases: SR and SF. (a) Services are deployed in the nearest ancestor devices in the routing tree of all such service requests with the least cost of deployment. (b) When the deployment cost of moving some service replicas to devices in the lower layer is less than the benefit, the service will fall. (2) However, the offline algorithm relies on the availability of prior information heavily, such as request arrival pattern and number, which is difficult to obtain. Therefore, this paper proposes a PPO-MSD algorithm for optimal deployment online, where a Markov decision process (MDP) is modeled. Extensive simulation results show that PPO-MSD outperforms existing algorithms in terms of overall delay and utility, and its performance is close to the optimal ones obtained by SD-SRF, with the SD-SRF and PPO-MSD algorithms reducing the delay on average by 32.40% and 9.91%.</t>
  </si>
  <si>
    <t>T3IFRG6M</t>
  </si>
  <si>
    <t>Mathew, Anil; Andrikopoulos, Vasilios; Blaauw, Frank J.; Karastoyanova, Dimka</t>
  </si>
  <si>
    <t>Pattern-based serverless data processing pipelines for Function-as-a-Service orchestration systems</t>
  </si>
  <si>
    <t>10.1016/j.future.2023.12.026</t>
  </si>
  <si>
    <t>The serverless cloud computing execution model presents an opportunity for implementing data processing pipelines in a cost efficient manner with minimum or no consideration about managing their operational aspects. In doing so, however, a major concern that emerges is the adoption of provider-specific languages required for orchestrating serverless functions and supporting services into the higher order logic of pipelines. As a result, the vendor lock-in problem inherent to cloud computing becomes further intensified. In this work we propose an approach to mitigate this issue through the adoption and adaptation of well-known patterns from the literature as the means for modeling the pipeline logic. By providing mappings from these patterns to vendor-specific orchestration language constructs we allow for efficient realization of provider-agnostic pipeline models as provider-specific executable workflows. An industrial case study provides evidence towards the suitability of our proposal for practical purposes.</t>
  </si>
  <si>
    <t>ZQV6ETES</t>
  </si>
  <si>
    <t>Tusa, Francesco; Clayman, Stuart; Buzachis, Alina; Fazio, Maria</t>
  </si>
  <si>
    <t>Microservices and serverless functions—lifecycle, performance, and resource utilisation of edge based real-time IoT analytics</t>
  </si>
  <si>
    <t>10.1016/j.future.2024.02.006</t>
  </si>
  <si>
    <t>Edge Computing harnesses resources close to the data sources to reduce end-to-end latency and allow real-time process automation for verticals such as Smart City, Healthcare and Industry 4.0. Edge resources are limited when compared to traditional Cloud data centres; hence the choice of proper resource management strategies in this context becomes paramount. Microservice and Function as a Service architectures support modular and agile patterns, compared to a monolithic design, through lightweight containerisation, continuous integration/deployment and scaling. The advantages brought about by these technologies may initially seem obvious, but we argue that their usage at the Edge deserves a more in-depth evaluation. By analysing both the software development and deployment lifecycle, along with performance and resource utilisation, this paper explores microservices and two alternative types of serverless functions to build edge real-time IoT analytics. In the experiments comparing these technologies, microservices generally exhibit slightly better end-to-end processing latency and resource utilisation than serverless functions. One of the serverless functions and the microservices excel at handling larger data streams with auto-scaling. Whilst serverless functions natively offer this feature, the choice of container orchestration framework may determine its availability for microservices. The other serverless function, while supporting a simpler lifecycle, is more suitable for low-invocation scenarios and faces challenges with parallel requests and inherent overhead, making it less suitable for real-time processing in demanding IoT settings.</t>
  </si>
  <si>
    <t>QWWM3358</t>
  </si>
  <si>
    <t>Russo Russo, Gabriele; Ferrarelli, Daniele; Pasquali, Diana; Cardellini, Valeria; Lo Presti, Francesco</t>
  </si>
  <si>
    <t>QoS-aware offloading policies for serverless functions in the Cloud-to-Edge continuum</t>
  </si>
  <si>
    <t>10.1016/j.future.2024.02.019</t>
  </si>
  <si>
    <t>Function-as-a-Service (FaaS) paradigm is increasingly attractive to bring the benefits of serverless computing to the edge of the network, besides traditional Cloud data centers. However, FaaS adoption in the emerging Cloud-to-Edge Continuum is challenging, mostly due to geographical distribution and heterogeneous resource availability. This emerging landscape calls for effective strategies to trade off low latency at the edge of the network with Cloud resource richness, taking into account the needs of different functions and users. In this paper, we present QoS-aware offloading policies for serverless functions running in the Cloud-to-Edge continuum. We consider heterogeneous functions and service classes, and aim to maximize utility given a monetary budget for resource usage. Specifically, we introduce a two-level approach, where (i) FaaS nodes rely on a randomized policy to schedule every incoming request according to a set of probability values, and (ii) periodically, a linear programming model is solved to determine the probabilities to use for scheduling. We show by extensive simulation that our approach outperforms alternative approaches in terms of generated utility across multiple scenarios. Moreover, we demonstrate that our solution is computationally efficient and can be adopted in large-scale systems. We also demonstrate the functionality of our approach through a proof-of-concept experiment on an open-source FaaS framework.</t>
  </si>
  <si>
    <t>HBJWSAMQ</t>
  </si>
  <si>
    <t>Werner, Sebastian; Tai, Stefan</t>
  </si>
  <si>
    <t>A reference architecture for serverless big data processing</t>
  </si>
  <si>
    <t>10.1016/j.future.2024.01.029</t>
  </si>
  <si>
    <t>Despite significant advances in data management systems in recent decades, the processing of big data at scale remains very challenging. While cloud computing has been well-accepted as a solution to address scalability needs, cloud configuration and operation complexity persist and often present themselves as entry barriers, especially for novice data analysts. Serverless computing and Function-as-a-Service (FaaS) platforms have been suggested to reduce such entry barriers by shifting configuration and operational responsibilities from the application developer to the FaaS platform provider. Naturally, “serverless data processing (SDP)”, that is, using FaaS for (big) data processing, has received increasing interest in recent years. However, FaaS platforms were never intended to support large data processing tasks primarily. SDP, therefore, manifests itself through workarounds and adaptations on the application level, addressing various quirks and limitations of the FaaS platforms in use for data processing needs. This, in turn, creates tensions between the platforms and the applications using them, again encouraging the constant (re-)design of both. Consequently, we present lessons learned from a series of application and platform re-designs that address these tensions, leading to the development of an SDP reference architecture and a platform instantiation and implementation thereof called CREW. Mitigating the tensions through the process of application platform co-design proves to reduce both entry barriers and costs significantly. In some experiments, CREW outperforms traditional, non-SDP big data processing frameworks by factors.</t>
  </si>
  <si>
    <t>CXJ4EHA3</t>
  </si>
  <si>
    <t>10.1016/j.knosys.2024.112489</t>
  </si>
  <si>
    <t>Due to its flexibility, cloud computing has become essential in modern operational schemes. However, the effective management of cloud resources to ensure cost-effectiveness and maintain high performance presents significant challenges. The pay-as-you-go pricing model, while convenient, can lead to escalated expenses and hinder long-term planning. Consequently, FinOps advocates proactive management strategies, with resource usage prediction emerging as a crucial optimization category. In this research, we introduce the multi-time series forecasting system (MSFS), a novel approach for data-driven resource optimization alongside the hybrid ensemble anomaly detection algorithm (HEADA). Our method prioritizes the concept-centric approach, focusing on factors such as prediction uncertainty, interpretability and domain-specific measures. Furthermore, we introduce the similarity-based time-series grouping (STG) method as a core component of MSFS for optimizing multi-time series forecasting, ensuring its scalability with the rapid growth of the cloud environment. The experiments performed demonstrate that our group-specific forecasting model (GSFM) approach enabled MSFS to achieve a significant cost reduction of up to 44%.</t>
  </si>
  <si>
    <t>BQIDJGHM</t>
  </si>
  <si>
    <t>Biomedical Signal Processing and Control</t>
  </si>
  <si>
    <t>Elaraby, Mohamed E.; Ewees, Ahmed A.; Anter, Ahmed M.</t>
  </si>
  <si>
    <t>A robust IoT-based cloud model for COVID-19 prediction using advanced machine learning technique</t>
  </si>
  <si>
    <t>1746-8094</t>
  </si>
  <si>
    <t>10.1016/j.bspc.2023.105542</t>
  </si>
  <si>
    <t>Due to the rapid spread of COVID-19, an urgent need arose for a quick and accurate diagnosis approach. The well-known RT-PCR test is often unavailable and too costly for many suspected cases. In contrast, the chest X-ray scan proves to be a robust and efficient tool for promptly identifying the virus, using various cost-effective tests. This study proposes a hybrid intelligent model for identifying COVID-19 patients based on their chest X-ray scans. The proposed model consists of five phases. Firstly, the X-ray images are preprocessed using a median filter to enhance and remove noise. Secondly, robust invariant and high-level engineering features are extracted using five different feature extraction methods, namely (speeded up robust features (SURF), grey-level co-occurrence matrix (GLCM), histogram of oriented gradients (HoG), segmentation-based fractal texture analysis (SFTA), and local binary pattern (LBP) to help in rapid diagnosis. Then these features are fused to complement the gap of each other and to achieve the best performance. Thirdly, a deep convolutional neural network (DCNN) is used to classify the chest X-ray scans of infected COVID-19 patients. Then, the proposed model is compared with different machine learning techniques under different quality measures. Fourthly, an IoT platform composed of a mobile client application and a backend system is designed. The mobile client application captures the content from the patient side, handles these captured images, and prepares them for rapid sending to the backend side for further processing. The backend system receives the patient images from the client side and applies the proposed model to diagnose the COVID-19 patients. Finally, a cloud-based design for the platform utilizes the modern AWS services characterized by availability, elasticity, coverage, configurability, and reliability. The results show that the proposed model has a good accuracy of around (99.31%) and outperforms the other models. Therefore, the proposed model could be used for real-time automatic early recognition of COVID-19 cases.</t>
  </si>
  <si>
    <t>9ZQV8VUS</t>
  </si>
  <si>
    <t>10.1016/j.comnet.2024.110219</t>
  </si>
  <si>
    <t>Cloud Native Software Defined Wide Area Networks (CN-WANs) are proposed to optimize the network performance based on the application requirement. In this paper, we propose a Relay Node Selection and Routing (RNSR) approach to minimize the number of relay nodes in CN-WANs under the end-to-end (E2E) transmission latency constraint. By doing so, we can not only ensure the Service Level Agreement (SLA) to applications, but also reduce the network operation expenses. To improve the system scalability, several algorithms are proposed for networks with different sizes. According to experiments on a prototype built on EC2 and extensive simulations in a custom in-house simulator, we demonstrate that RNSR has a superior performance on reducing the number of required relay nodes, outperforming the state-of-the-art benchmarks by up to 92.48% specifically. In addition, the algorithms designed for large scale networks will not suffer too much performance degradation but significantly improve the system scalability.</t>
  </si>
  <si>
    <t>5BFTJQ23</t>
  </si>
  <si>
    <t>Botros, Joseph S.; Al-Qora'n, Lamis F.; Al-Said Ahmad, Amro</t>
  </si>
  <si>
    <t>Towards antifragility of cloud systems: An adaptive chaos driven framework</t>
  </si>
  <si>
    <t>10.1016/j.adhoc.2024.103413</t>
  </si>
  <si>
    <t>The Cloud-to-Things (C2T) continuum combines the proximity of edge infrastructure to the devices with cloud resources to optimize data processing and response time in the Internet of Things (IoT). Proactive edge caching is a potential solution for meeting latency constraints in C2T environments, enabling efficient data processing and storage while reducing redundant computation and cost. However, while 5G/6G infrastructural aspects and caching strategies are extensively studied, no frameworks facilitate the design and deployment of caching strategies or address IoT’s unique requirements. This paper proposes CACHE-IT, a proactive edge caching framework that decouples the caching strategy algorithm from the underlying architecture, enabling customization based on application-specific requirements. Through extensive simulations, we analyzed the impact of different configurations on system metrics and verified that the CACHE-IT positively impacts the system latency and hit rate. By implementing a scenario-specific caching strategy, we illustrate the CACHE-IT deployment in a real-world Structure Health Monitoring (SHM) system. The evaluation demonstrates that CACHE-IT impacts positively in terms of latency, hit rate, and the number of requests sent to data providers.</t>
  </si>
  <si>
    <t>UR3VDV8N</t>
  </si>
  <si>
    <t>5th International Conference on Industry 4.0 and Smart Manufacturing (ISM 2023)</t>
  </si>
  <si>
    <t>Figueira, João; Coutinho, Carlos</t>
  </si>
  <si>
    <t>Developing self-adaptive microservices</t>
  </si>
  <si>
    <t>10.1016/j.procs.2024.01.026</t>
  </si>
  <si>
    <t>The modern development approaches are establishing microservices and cloud computing as major trends to benefit the technological community. However, these technologies are often prone to multiple issues regarding parallel development by numerous parties, delivery strategies and resource allocation. This paper proposes a novel architecture for developing self-adaptive microservices, using Kubernetes through the Azure Container Apps, including a strategy that will complement the architecture to enhance the development of microservices and aiming to achieve a solution that allows the readers to deliver software faster, with more resilience, more scalable, and more cost-effective, depending as low as possible from human intervention to maintain and scale. The author will apply the acquired knowledge to propose and test an architecture for a real use case scenario, building a notifications service integrated with a complex cloud-based web application system.</t>
  </si>
  <si>
    <t>L29DL8DX</t>
  </si>
  <si>
    <t>Marques, Gonçalo; Senna, Carlos; Sargento, Susana; Carvalho, Luís; Pereira, Luís; Matos, Ricardo</t>
  </si>
  <si>
    <t>Proactive resource management for cloud of services environments</t>
  </si>
  <si>
    <t>Li, Jialun; Yang, Diying; Guo, Hairui; Mo, Xuan; Wu, Weigang</t>
  </si>
  <si>
    <t>Forecasting resource usage pattern changes in clouds via contrast graph-evolution learning</t>
  </si>
  <si>
    <t>Ramani, R.; Rosline Mary, A.; Edwin Raja, S.; Arun Shunmugam, D.</t>
  </si>
  <si>
    <t>Optimized data management and secured federated learning in the Internet of Medical Things (IoMT) with blockchain technology</t>
  </si>
  <si>
    <t>Hudson, Nathaniel; Khamfroush, Hana; Baughman, Matt; Lucani, Daniel E.; Chard, Kyle; Foster, Ian</t>
  </si>
  <si>
    <t>QoS-aware edge AI placement and scheduling with multiple implementations in FaaS-based edge computing</t>
  </si>
  <si>
    <t>Henaien, Amira; Ben Elhadj, Hadda; Chaari Fourati, Lamia</t>
  </si>
  <si>
    <t>A sustainable smart IoT-based solid waste management system</t>
  </si>
  <si>
    <t>Environmental Modelling &amp; Software</t>
  </si>
  <si>
    <t>1364-8152</t>
  </si>
  <si>
    <t>10.1016/j.envsoft.2023.105855</t>
  </si>
  <si>
    <t>Cloud technology and services provide a convenient platform for managing large scale watershed modeling studies, such as probabilistic studies or modeling campaigns requiring thousands of simulations. As federal and state agencies undertake large scale projects that leverage commercial cloud platforms for computing and storage of model data, ensuring that the Findable, Accessible, Interoperable, Reusable (FAIR) principles are incorporated early in the design stage is crucial. This paper is the first attempt to explore the feasibility of implementing the OGC API - Processes specification for use as an interoperability layer in an environmental modeling study for performing large scale environmental studies consistent with the FAIR principles. Specifically, an evaluation of the suitability for implementing the OGC API - Processes specification in the commercial cloud for managing the fundamental processes that are involved in the setup, execution, and post-processing of hydraulic modeling in a large-scale watershed study is performed. The experimental results show that the implementation of the OGC API - Processes specification can play a valuable role in providing an interoperable service layer that can be used to request geoprocessing services and chain model development and simulation processes.</t>
  </si>
  <si>
    <t>6KSW2I94</t>
  </si>
  <si>
    <t>Castellanos-Rodríguez, Óscar; Expósito, Roberto R.; Enes, Jonatan; Taboada, Guillermo L.; Touriño, Juan</t>
  </si>
  <si>
    <t>Serverless-like platform for container-based YARN clusters</t>
  </si>
  <si>
    <t>10.1016/j.future.2024.02.013</t>
  </si>
  <si>
    <t>Serverless computing is an emerging paradigm that has gained a lot of relevance in recent years, as it allows users to consume computing resources without worrying about the underlying infrastructure and pay only for what they actually use. Most current services that implement this paradigm typically rely on the Function-as-a-Service (FaaS) model, which works perfectly for simple applications based on stateless functions triggered by specific events. However, these services are not designed to run more complex applications with intricate interactions, usually presenting a significant degree of configuration difficulty and/or low ability to customise the execution environment. They also tend to be designed for short and simple workloads, with some services even limiting their maximum runtime to just a few minutes. In this paper, we present a platform based on Hadoop YARN oriented to the execution of Big Data workloads in a containerised and serverless way, so that the resources allocated to such containers are automatically and dynamically scaled according to their actual usage. An experimental evaluation has been carried out to compare our serverless-like platform with a standard YARN deployment when executing Big Data workloads concurrently. Our results have shown experimental evidence of enhancing both performance and overall resource efficiency, providing runtime reductions and resource usage improvements of up to 41% and 50%, respectively.</t>
  </si>
  <si>
    <t>RL6U2M7M</t>
  </si>
  <si>
    <t>Mahdizadeh, Samaneh Hajy; Abrishami, Saeid</t>
  </si>
  <si>
    <t>An assignment mechanism for workflow scheduling in Function as a Service edge environment</t>
  </si>
  <si>
    <t>10.1016/j.future.2024.04.003</t>
  </si>
  <si>
    <t>Serverless computing has revolutionized cloud-based software development for software developers, addressing many of the associated challenges. With resource management and infrastructure provisioning handled by the provider, developers can focus on deploying services at the application level, which has gained significant popularity. Edge computing, with its proximity to end-users and ability to offer low-cost, high-speed services, has emerged as a promising solution for latency-sensitive applications. By providing Function-as-a-Service (FaaS) capabilities at the network edge, it becomes easier to leverage the available edge capacity. However, edge servers have limited capacity to provide FaaS services, and user access is typically restricted to their geographic region. This presents a challenge in achieving optimal resource allocation in a multi-user environment, given the dynamic and unpredictable nature of edge computing. To address these challenges, we have proposed a dynamic resource provisioning and allocation approach for Edge FaaS. Our approach models the application structure as a directed acyclic graph, representing a workflow of computational functions. Drawing inspiration from the many-to-many assignment mechanism used in the course allocation problem, we have developed a mechanism to assign multi-user workflows to the limited Edge FaaS resources. This mechanism considers the priority of users’ ready tasks, determined by upward rank, with the goal of reducing workflow execution time. Additionally, we have proposed two methods for on-demand provisioning: the Highest Bid First Mechanism (HBFM) and the Warm Function First Mechanism (WFFM). Experimental results have shown that the proposed resource allocation methods effectively allocate limited resources to users, leading to reduced workflow completion time.</t>
  </si>
  <si>
    <t>AX8W5XJN</t>
  </si>
  <si>
    <t>Fireman, Daniel; Silva, Paulo; Pereira, Thiago Emmanuel; Mafra, Luis; Valadares, Dalton</t>
  </si>
  <si>
    <t>Prebaking runtime environments to improve the FaaS cold start latency</t>
  </si>
  <si>
    <t>Talluri, Sacheendra; Herbst, Nikolas; Abad, Cristina; De Matteis, Tiziano; Iosup, Alexandru</t>
  </si>
  <si>
    <t>ExDe: Design space exploration of scheduler architectures and mechanisms for serverless data-processing</t>
  </si>
  <si>
    <t>10.1016/j.future.2023.11.013</t>
  </si>
  <si>
    <t>Serverless computing is increasingly used for data-processing applications in both science and business domains. At the core of serverless data-processing systems is the scheduler, which ensures dynamic decisions about task and data placement. Due to the variety of user, cluster, and workload properties, the design space for high-performance and cost-effective scheduling architectures and mechanisms is vast. The large design space is difficult to explore and characterize. To help the system designer disentangle this complexity, we present ExDe, a framework to systematically explore the design space of scheduling architectures and mechanisms. The framework includes a conceptual model and a simulator to assist in design space exploration. We use the framework, and real-world workloads, to characterize the performance of three scheduling architectures and two mechanisms. Our framework is open-source software available on Zenodo.</t>
  </si>
  <si>
    <t>HK5A9UJW</t>
  </si>
  <si>
    <t>Kaushal, Ashish; Almurshed, Osama; Almoghamis, Osama; Alabbas, Areej; Auluck, Nitin; Veeravalli, Bharadwaj; Rana, Omer</t>
  </si>
  <si>
    <t>SHIELD: A Secure Heuristic Integrated Environment for Load Distribution in Rural-AI</t>
  </si>
  <si>
    <t>Sasak-Okoń, Anna; Tudruj, Marek</t>
  </si>
  <si>
    <t>Improving speculative query execution support by the use of the hypergraph representation</t>
  </si>
  <si>
    <t>10.1016/j.compeleceng.2024.109215</t>
  </si>
  <si>
    <t>In the era of artificial intelligence (AI) advancements heralded by Large Language Models (LLMs) like GPT-3, the capacity to parse and generate human-like text brings to light substantial privacy concerns. These arise notably from LLMs’ reliance on vast datasets often laden with personal information, underscoring the potential for inadvertent memorization and disclosure of sensitive data. Addressing these pivotal privacy concerns, our research introduces a novel two-fold approach aimed at bolstering the confidentiality and security of user data in LLM applications. Firstly, we deploy advanced cryptographic techniques, incorporating bespoke encryption and hashing protocols, to preprocess user data. This strategy effectively anonymizes personal identifiers prior to their processing by LLMs, directly tackling the challenges of sensitive information exposure. Concurrently, our methodology encompasses a secure mutual authentication protocol utilizing lightweight cryptographic measures. This ensures that system interactions are strictly reserved for authenticated users, thereby enhancing overall data security. Collectively, our approach not only preserves the utility of data for AI tasks but also fortifies the privacy framework surrounding LLMs, significantly reducing the likelihood of privacy breaches and steering AI development towards a more secure and ethically grounded future.</t>
  </si>
  <si>
    <t>CRNRGCJ9</t>
  </si>
  <si>
    <t>Peng, Yaqiong; Peng, Haocheng</t>
  </si>
  <si>
    <t>InferFair: Towards QoS-aware scheduling for performance isolation guarantee in heterogeneous model serving systems</t>
  </si>
  <si>
    <t>Cabane, Hebert; Farias, Kleinner</t>
  </si>
  <si>
    <t>On the impact of event-driven architecture on performance: An exploratory study</t>
  </si>
  <si>
    <t>10.1016/j.future.2023.10.021</t>
  </si>
  <si>
    <t>Event-driven architecture has been widely adopted in the software industry in recent years. This adoption is motivated by the increase in software modularity, and mainly the desired performance of decomposed monolithic applications. Although it has become popular, the current literature lacks studies that demonstrate the impact of event-driven architecture on performance. Hence, developers and architects end up adopting event-driven architecture without empirical evidence, but considering “expert advice.” This study, therefore, reports an empirical study on the impact of the adoption of event-driven architecture on performance. For this, the performance of an application implemented with an event-based architecture was compared with the performance of the same application implemented using a monolithic architecture. The comparison was made using metrics such as CPU usage, memory, response time, throughput, and total packages sent and received. The results, supported by statistical tests, show that the monolithic architecture, compared to the event-driven architecture, consumes less computational resources and has better response times. Finally, this study reflects on the adoption of event-driven architecture, as well as points out challenges and implications that need to be considered by the scientific community in future research.</t>
  </si>
  <si>
    <t>RIHVPS9F</t>
  </si>
  <si>
    <t>Raptis, Theofanis P.; Cicconetti, Claudio; Passarella, Andrea</t>
  </si>
  <si>
    <t>Efficient topic partitioning of Apache Kafka for high-reliability real-time data streaming applications</t>
  </si>
  <si>
    <t>Pittalà, Gaetano Francesco; Rinieri, Lorenzo; Al Sadi, Amir; Davoli, Gianluca; Melis, Andrea; Prandini, Marco; Cerroni, Walter</t>
  </si>
  <si>
    <t>Leveraging Data Plane Programmability to enhance service orchestration at the edge: A focus on industrial security</t>
  </si>
  <si>
    <t>10.1016/j.comnet.2024.110397</t>
  </si>
  <si>
    <t>The Edge Computing paradigm is increasingly gaining traction in modern telecommunication scenarios, as it enables the offloading of computational tasks from end devices to a variety of nodes located in close proximity to them. This approach is essential for meeting the ever-stricter Quality of Service requirements imposed by modern applications. Concurrently, the advent of Data Plane Programmability allows for unmatched flexibility on the networking plane, supporting processing of multiple protocols in a logically centralized fashion with simple in-line computation, and offering the possibility to offload additional services to networking equipment. Reaping those benefits necessitates heedful management of resources and infrastructure. This, in turn, calls for the introduction of a service orchestration entity, capable of taking advantage of device heterogeneity to enable efficient and swift service provisioning. This work delves into the potential of introducing an orchestration system able to cope with the challenges of offloading security tasks at the Edge. This effort involves developing and implementing novel architectural components that capitalize on the heterogeneous nature of the Edge infrastructure as well as of the Programmable Data Plane as a potential tool for service offloading. To establish the feasibility and performance of this approach, an industrial scenario is considered, where the integrity of data from legacy devices must be ensured. Following an evaluation of the hashing performance of the Programmable Data Plane in comparison to general-purpose devices, a simulation study is conducted on the overall orchestration system, demonstrating the viability of the proposed approach.</t>
  </si>
  <si>
    <t>5HVQVBJX</t>
  </si>
  <si>
    <t>Chhetri, Tek Raj; Dehury, Chinmaya Kumar; Varghese, Blesson; Fensel, Anna; Srirama, Satish Narayana; DeLong, Rance J.</t>
  </si>
  <si>
    <t>Enabling privacy-aware interoperable and quality IoT data sharing with context</t>
  </si>
  <si>
    <t>Alexeev, Yuri; Amsler, Maximilian; Barroca, Marco Antonio; Bassini, Sanzio; Battelle, Torey; Camps, Daan; Casanova, David; Choi, Young Jay; Chong, Frederic T.; Chung, Charles; Codella, Christopher; Córcoles, Antonio D.; Cruise, James; Di Meglio, Alberto; Duran, Ivan; Eckl, Thomas; Economou, Sophia; Eidenbenz, Stephan; Elmegreen, Bruce; Fare, Clyde; Faro, Ismael; Fernández, Cristina Sanz; Ferreira, Rodrigo Neumann Barros; Fuji, Keisuke; Fuller, Bryce; Gagliardi, Laura; Galli, Giulia; Glick, Jennifer R.; Gobbi, Isacco; Gokhale, Pranav; de la Puente Gonzalez, Salvador; Greiner, Johannes; Gropp, Bill; Grossi, Michele; Gull, Emanuel; Healy, Burns; Hermes, Matthew R.; Huang, Benchen; Humble, Travis S.; Ito, Nobuyasu; Izmaylov, Artur F.; Javadi-Abhari, Ali; Jennewein, Douglas; Jha, Shantenu; Jiang, Liang; Jones, Barbara; de Jong, Wibe Albert; Jurcevic, Petar; Kirby, William; Kister, Stefan; Kitagawa, Masahiro; Klassen, Joel; Klymko, Katherine; Koh, Kwangwon; Kondo, Masaaki; Kürkçüog̃lu, Dog̃a Murat; Kurowski, Krzysztof; Laino, Teodoro; Landfield, Ryan; Leininger, Matt; Leyton-Ortega, Vicente; Li, Ang; Lin, Meifeng; Liu, Junyu; Lorente, Nicolas; Luckow, Andre; Martiel, Simon; Martin-Fernandez, Francisco; Martonosi, Margaret; Marvinney, Claire; Medina, Arcesio Castaneda; Merten, Dirk; Mezzacapo, Antonio; Michielsen, Kristel; Mitra, Abhishek; Mittal, Tushar; Moon, Kyungsun; Moore, Joel; Mostame, Sarah; Motta, Mario; Na, Young-Hye; Nam, Yunseong; Narang, Prineha; Ohnishi, Yu-ya; Ottaviani, Daniele; Otten, Matthew; Pakin, Scott; Pascuzzi, Vincent R.; Pednault, Edwin; Piontek, Tomasz; Pitera, Jed; Rall, Patrick; Ravi, Gokul Subramanian; Robertson, Niall; Rossi, Matteo A.C.; Rydlichowski, Piotr; Ryu, Hoon; Samsonidze, Georgy; Sato, Mitsuhisa; Saurabh, Nishant; Sharma, Vidushi; Sharma, Kunal; Shin, Soyoung; Slessman, George; Steiner, Mathias; Sitdikov, Iskandar; Suh, In-Saeng; Switzer, Eric D.; Tang, Wei; Thompson, Joel; Todo, Synge; Tran, Minh C.; Trenev, Dimitar; Trott, Christian; Tseng, Huan-Hsin; Tubman, Norm M.; Tureci, Esin; Valiñas, David García; Vallecorsa, Sofia; Wever, Christopher; Wojciechowski, Konrad; Wu, Xiaodi; Yoo, Shinjae; Yoshioka, Nobuyuki; Yu, Victor Wen-zhe; Yunoki, Seiji; Zhuk, Sergiy; Zubarev, Dmitry</t>
  </si>
  <si>
    <t>Quantum-centric supercomputing for materials science: A perspective on challenges and future directions</t>
  </si>
  <si>
    <t>Information Processing &amp; Management</t>
  </si>
  <si>
    <t>0306-4573</t>
  </si>
  <si>
    <t>10.1016/j.ipm.2024.103643</t>
  </si>
  <si>
    <t>Language models, such as BART and GPT, have been shown to be highly effective at producing quality headlines. However, without clear guidelines for what constitutes a particular writing style, they may generate text that does not meet the desired style criteria (i.e., attention-grabbing), even if the resulting text is grammatically correct and semantically coherent. In this study, we introduce a novel approach called Discretized Style Transfer (DST) for unsupervised style transfer. We argue that the textual style signal is inherently abstract and separate from the text itself. Therefore, we discretize the style representation into a discrete space, where each discrete point corresponds to a particular category of style that can be elicited by the syntactic structure. To evaluate the effectiveness of our approach, we propose two new automatic evaluation metrics along with several conventional criteria, especially STR metric is nearly 0.9 in TechST, 0.87 in GYAFC datasets, and the best PPL metrics. Furthermore, we conduct thorough human evaluations by directly measuring click-through rates as an indicator of attractiveness, showing our model receives the most popularity. Our results demonstrate that DST achieves competitive performance on style transfer and can effectively capture the written structure of specified styles. This approach has the potential to significantly enhance its relevance and is capable of generating appealing content.</t>
  </si>
  <si>
    <t>VU5ANA2F</t>
  </si>
  <si>
    <t>Tong, Yulai; Liu, Jiazhen; Wang, Hua; He, Mingjian; Zhou, Ke; He, Rongfeng; Zhang, Qin; Wang, Cheng</t>
  </si>
  <si>
    <t>DAG-aware harmonizing job scheduling and data caching for disaggregated analytics frameworks</t>
  </si>
  <si>
    <t>10.1016/j.compeleceng.2024.109625</t>
  </si>
  <si>
    <t>Phishing emails continue to pose a significant threat, causing financial losses and security breaches. This study addresses limitations in existing research, such as reliance on proprietary datasets and lack of real-world application, by proposing a high-performance machine learning model for email classification. Utilizing a comprehensive and largest available public dataset, the model achieves a f1 score of 0.99 and is designed for deployment within relevant applications. Additionally, Explainable AI (XAI) is integrated to enhance user trust. This research offers a practical and highly accurate solution, contributing to the fight against phishing by empowering users with a real-time web-based application for phishing email detection.</t>
  </si>
  <si>
    <t>H6XTUNPZ</t>
  </si>
  <si>
    <t>Computer Standards &amp; Interfaces</t>
  </si>
  <si>
    <t>Grande, Rubén; Vizcaíno, Aurora; García, Félix O.</t>
  </si>
  <si>
    <t>Is it worth adopting DevOps practices in Global Software Engineering? Possible challenges and benefits</t>
  </si>
  <si>
    <t>Cao, Han; Zhang, Jinquan; Chen, Long; Li, Siyuan; Shi, Guang</t>
  </si>
  <si>
    <t>ServlessSimPro: A comprehensive serverless simulation platform</t>
  </si>
  <si>
    <t>10.1016/j.future.2024.107558</t>
  </si>
  <si>
    <t>Serverless computing represents an emerging paradigm within cloud computing, characterized by the fundamental concept of enabling developers to run applications without the need for concerns related to the management of underlying servers. Although there are several mature serverless computing platforms currently exist, there is limited availability of open-source simulation platforms that can accurately simulate the characteristics of serverless environments and provide a free and convenient tool for researchers to conduct investigations. Furthermore, existing simulation platforms do not provide comprehensive interfaces for scheduling strategies and do not provide the diverse monitoring metrics required by researchers. In response to this gap, we have developed the ServlessSimPro simulation platform. This platform offers the most comprehensive set of scheduling algorithms, diverse evaluation metrics, and extensive interfaces and parameters among all existing serverless simulators. The experimental results demonstrate that the scheduling algorithm of the simulator can effectively reduce latency, enhance resource utilization, and decrease energy consumption.</t>
  </si>
  <si>
    <t>32DLUIU4</t>
  </si>
  <si>
    <t>10.1016/j.future.2024.107622</t>
  </si>
  <si>
    <t>The execution of data intensive analysis workflows in a multi-cloud environment, such as the World Large hadron collider Computing Grid (WLCG) at CERN, requires a large amount of input data, which is stored in multiple storage elements. The turnaround time taken by an individual analysis workflow running on an edge machine is mostly affected by the data reading time. Minimizing the data reading time can improve the overall efficiency of the data analysis process. To overcome this problem, we have used Speculative Scheduling to optimize the multi-cloud analysis workflows by intelligently streaming data before a task arrives for execution at the edge machine. We propose an Event System (ES) which is an in-memory Serverless process responsible for proactively providing input data to the workflow processes. It prefetches the data from the storage elements to the memory of the edge machine, which executes the workflow. Using locality aware scheduling and prefetching algorithms, it performs Speculative Scheduling on the basis of the evaluation of historic execution logs using the Bayesian Inference model. The Serverless ES learns about the incoming jobs ahead of time and makes use of intelligent data streaming to supply data to these jobs, thus reducing the overall scheduling and data access latencies and leading to significant improvements in the overall turnaround time. We have evaluated the proposed system using a large analysis workflow from High Energy Physics (HEP) by emulating the WLCG infrastructure in a controlled environment. The results have shown that by using speculative and locality aware scheduling techniques, significant improvements (i.e. over 30%) can be achieved in the execution of data intensive workflows in the cloud environment.</t>
  </si>
  <si>
    <t>UC5GGATL</t>
  </si>
  <si>
    <t>GhorbanniaDelavar, Arash</t>
  </si>
  <si>
    <t>TPMCD: A method to optimizing cost and throughput for clustering tasks and hybrid containers in the cloud data center</t>
  </si>
  <si>
    <t>The 16th International Conference on Ambient Systems, Networks and Technologies Networks (ANT)/ the 8th International Conference on Emerging Data and Industry 4.0 (EDI40)</t>
  </si>
  <si>
    <t>Shahin, Mahtab; Rahimpour, Saeed; Ghasempouri, Tara; Bauk, Sanja; Fahringer, Thomas; Draheim, Dirk</t>
  </si>
  <si>
    <t>Towards Smarter Maritime Security: Apriori Algorithm Optimization in Serverless Environments</t>
  </si>
  <si>
    <t>10.1016/j.procs.2025.03.059</t>
  </si>
  <si>
    <t>This paper presents an optimized implementation of the Apriori algorithm tailored for large-scale data mining in cloud-native, serverless environments, utilizing real-world fuel datasets. Our approach achieves a 28% reduction in execution time and a 22% decrease in memory consumption compared to traditional distributed Apriori methods. The study leverages high-dimensional fuel datasets, spanning from 2020 to 2050, to evaluate scalability and efficiency in processing energy-related data. By employing advanced synchronization and deferred partitioning strategies, communication overhead is significantly reduced, improving performance while effectively balancing computational loads across distributed nodes. Security measures, including AES-256 encryption and role-based access control (RBAC), are incorporated to safeguard data confidentiality and ensure compliance with regulatory frameworks. The proposed solution scales efficiently for datasets up to 1 million records, demonstrating applicability across domains such as transportation and logistics. Future work will explore adaptive partitioning techniques, hybrid cloud architectures, and AI-driven predictive analytics to further enhance scalability and operational efficiency in serverless multi-cloud systems.</t>
  </si>
  <si>
    <t>XBMWNDPQ</t>
  </si>
  <si>
    <t>10.1016/j.comcom.2025.108281</t>
  </si>
  <si>
    <t>With the increasing competition in cloud market, reducing operating costs and improving Quality of Service (QoS) are two of the key issues that cloud vendors need to consider. In order to reduce the power consumption while mitigating the negative impact of micro-burst traffic in Cloud Data Centers (CDCs) on performance, and make cloud vendors more competitive, we design an Energy-saving Strategy based on Sleep and Adaptive Service-rate Tuning (ES-SAST) in this paper. We model the arrivals of the cloud task requests as an environment-dependent R-phase Markov Arrival Process (MAP(R)), and we establish a multi-server synchronous multi-vacation queue with adaptive service rate tuning. We construct a four-dimensional Markov chain to analyze the queue, and we calculate some measures to evaluate the energy efficiency and QoS in the steady state. Then we develop an objective function composed of three performance measures. Finally, we propose an Improved Fire Hawk Optimizer (IFHO) with multi-strategy integration, and IFHO jointly optimizes two system parameters. An empirical study shows that IFHO chooses a lower system expected cost, where the power consumption of the system falls by 3%, the latency of tasks decreases by 19%, and the loss rate of the system reduces by 37%, on average.</t>
  </si>
  <si>
    <t>9KZNV84Z</t>
  </si>
  <si>
    <t>Chen, Yu; Liu, Bo; Lin, Weiwei; Guo, Yulin; Peng, Zhiping</t>
  </si>
  <si>
    <t>CASR: Optimizing cold start and resources utilization in serverless computing</t>
  </si>
  <si>
    <t>10.1016/j.future.2025.107851</t>
  </si>
  <si>
    <t>Serverless computing, also known as Functions as a Service (FaaS), is an emerging cloud deployment paradigm that offers advantages such as pay-as-you-go pricing and automatic scaling. Functions often suffer from cold starts delays due to the overhead of initializing code and data dependencies before execution. Retaining containers in memory for a period after execution can reduce cold start latency. However, existing application-layer solutions overlook the effect of cold start overhead on the availability of containers, resulting in suboptimal balance between cold start latency and memory resource utilization. Furthermore, these strategies typically overlook the optimization of overall cold start overhead, which is essential for enhancing system efficiency. To address these challenges, we propose the Cache-Based Adaptive Scheduler for Serverless Runtime (CASR), an adaptive strategy for managing container runtime configurations. CASR effectively balances cold start latency and memory utilization while reducing overall cold start overhead. Specifically, we introduce a serverless cache (S-Cache) that leverages the equivalence between caching problems and container keep-alive strategies to mitigate cold starts. Additionally, we develop a deep reinforcement learning model, based on the proximal policy optimization algorithm, to enable the automatic scaling of the S-Cache queue, allowing adaptation to dynamic cloud workloads and enhancing memory resource utilization. Extensive simulations on an Azure dataset show that CASR reduces cold starts by 38.75%, improves memory resource utilization by 46.73%, and decreases cold start overhead by 48.53% compared to existing container keep-alive strategies in serverless platforms under common workloads.</t>
  </si>
  <si>
    <t>8LA9ETDX</t>
  </si>
  <si>
    <t>OSCAR-P and aMLLibrary: Profiling and predicting the performance of FaaS-based applications in computing continua</t>
  </si>
  <si>
    <t>10.1016/j.jss.2024.112282</t>
  </si>
  <si>
    <t>This paper proposes an automated framework for efficient application profiling and training of Machine Learning (ML) performance models, composed of two parts: OSCAR-P and aMLLibrary. OSCAR-P is an auto-profiling tool designed to automatically test serverless application workflows running on multiple hardware and node combinations in cloud and edge environments. OSCAR-P obtains relevant profiling information on the execution time of the individual application components. These data are later used by aMLLibrary to train ML-based performance models. This makes it possible to predict the performance of applications on unseen configurations. We test our framework on clusters with different architectures (x86 and arm64) and workloads, considering multi-component use-case applications. This extensive experimental campaign proves the efficiency of OSCAR-P and aMLLibrary, significantly reducing the time needed for the application profiling, data collection, and data processing. The preliminary results obtained on the ML performance models accuracy show a Mean Absolute Percentage Error lower than 30% in all the considered scenarios.</t>
  </si>
  <si>
    <t>JGQJR46A</t>
  </si>
  <si>
    <t>Serrano-Gutierrez, Pablo; Ayala, Inmaculada; Fuentes, Lidia</t>
  </si>
  <si>
    <t>Integrating energy consumption in the development of serverless applications</t>
  </si>
  <si>
    <t>10.1016/j.infsof.2025.107819</t>
  </si>
  <si>
    <t>Context: The increasing environmental impact of Information and Communication Technologies (ICTs), particularly the energy consumption associated with serverless applications, necessitates the development of methodologies to optimize energy efficiency. This study addresses the need for energy-aware design and runtime adaptation in serverless architectures. Objective: To develop and validate a methodology that integrates energy monitoring into the development and runtime management of serverless applications, thereby enabling significant reductions in energy consumption while maintaining functionality. Methods: A new version of FUSPAQ, a framework for the optimization of serverless applications, was developed. This version incorporates tools like Kepler for real-time energy monitoring and employs an energy-aware orchestration mechanism to dynamically select energy-efficient function configurations. Validation was conducted through a facial recognition case study and benchmark experiments, comparing energy consumption across different scenarios with and without the proposed adaptations. Results: The enhanced FUSPAQ framework successfully integrated energy consumption metrics into the decision-making process for function selection and runtime adaptation. Benchmark tests confirmed the scalability of the solution, with energy-efficient outcomes even in complex applications. Conclusion: The study highlights the potential of integrating energy-aware practices in serverless applications, presenting a scalable and practical approach to reducing their environmental footprint. By leveraging tools like Kepler and frameworks like FUSPAQ, developers can achieve significant energy savings without compromising application performance. This work contributes to the advancement of Green Software Engineering by emphasizing runtime energy adaptation in Function-as-a-Service (FaaS) architectures.</t>
  </si>
  <si>
    <t>2F86X5GK</t>
  </si>
  <si>
    <t>Hanaforoosh, Mahrad; Azgomi, Mohammad Abdollahi; Ashtiani, Mehrdad</t>
  </si>
  <si>
    <t>Reducing the cost of cold start time in serverless function executions using granularity trees</t>
  </si>
  <si>
    <t>10.1016/j.future.2024.107604</t>
  </si>
  <si>
    <t>In serverless computing, cold starts significantly impede performance. This paper presents a granularity tree-based scheduling strategy, dynamically adjusting serverless function deployment by package dependencies to mitigate cold starts and optimize resource usage. This approach notably reduces cold start and response times. Empirical results from evaluating functions across various datasets show the strategy outperforms existing methods. Specifically, it consistently delivers lower response times and decreases resource consumption, demonstrating its effectiveness in managing computational resources while ensuring swift function invocation. In particular scenarios, the proposed scheduler impressively reduced response times from 8134.1 ms to 392.8 ms and idle memory usage from 15.2 GB to 11.2 GB per machine. In other scenarios, it reduced response times from 12,152.7 ms to 504.2 ms while maintaining a 100% function execution percentage. These quantified improvements underscore the significant enhancements in cold start mitigation and overall system performance, highlighting the potential of granularity tree-based scheduling in enhancing serverless computing architectures by effectively balancing rapid response with reduced resource usage.</t>
  </si>
  <si>
    <t>WQV8UMWD</t>
  </si>
  <si>
    <t>Ben-Shimol, Lavi; Lavi, Danielle; Klevansky, Eitan; Brodt, Oleg; Mimran, Dudu; Elovici, Yuval; Shabtai, Asaf</t>
  </si>
  <si>
    <t>Detection of compromised functions in a serverless cloud environment</t>
  </si>
  <si>
    <t>10.1016/j.cose.2024.104261</t>
  </si>
  <si>
    <t>Serverless computing is an emerging cloud paradigm with serverless functions at its core. While serverless environments enable software developers to focus on developing applications without the need to actively manage the underlying runtime infrastructure, they open the door to a wide variety of security threats that can be challenging to mitigate with existing methods. Existing security solutions do not apply to all serverless architectures, since they require significant modifications to the serverless infrastructure or rely on third-party services for the collection of more detailed data. In this paper, we present an extendable serverless security threat detection model that leverages cloud providers’ native monitoring tools to detect anomalous behavior in serverless applications. Our model aims to detect compromised serverless functions by identifying post-exploitation abnormal behavior related to different types of attacks on serverless functions, and therefore, it is a last line of defense. Our approach is not tied to any specific serverless application, is agnostic to the type of threats, and is adaptable through model adjustments. To evaluate our model’s performance, we developed a serverless cybersecurity testbed in an AWS cloud environment, which includes two different serverless applications and simulates a variety of attack scenarios that cover the main security threats faced by serverless functions. Our evaluation demonstrates our model’s ability to detect all implemented attacks while maintaining a negligible false alarm rate.</t>
  </si>
  <si>
    <t>AZ8HJUL3</t>
  </si>
  <si>
    <t>Li, Ming; Xu, Furong; Wu, Yuqin; Zhang, Jianshan; Xu, Weitao; Wu, Yuezhong</t>
  </si>
  <si>
    <t>Real-time task dispatching and scheduling in serverless edge computing</t>
  </si>
  <si>
    <t>10.1016/j.adhoc.2025.103854</t>
  </si>
  <si>
    <t>Edge computing brings computing resources closer to the Internet of Things (IoT) devices, significantly reducing transmission latency and bandwidth usage. However, the limited resources of edge servers require efficient management. Serverless computing meets this demand through its elastic resource provisioning, leading to the emergence of serverless edge computing—a promising computing paradigm. Despite its potential, real-time task dispatching and scheduling in the highly complex and dynamic environment of serverless edge computing present significant challenges. On the one hand, task execution requires not only sufficient CPU resources but also free containers; on the other hand, tasks are typically event-driven, with strong burstiness and high concurrency, and impose stringent demands on fast decision-making. To address these challenges, we propose a real-time task dispatching and scheduling method, aiming to maximize the satisfaction rate of Service Level Objectives (SLOs) for tasks. First, we design a task dispatching algorithm named Adaptive Deep Reinforcement Learning (ADRL). This algorithm can quickly decide the execution position of tasks based on coarse information and effectively adapt to the changes in available servers in dynamic environments. Second, we propose a task scheduling algorithm named Warm-aware Shortest Remaining Idle Time (WSRIT), which guides the edge servers to schedule the tasks in the request queue based on the tasks’ remaining idle time and the state of the warm containers. Considering the limited storage space of the edge servers, we further introduce a container replacement algorithm named Low Priority First (LPF) to ensure smooth container launches. Extensive simulation experiments are conducted based on Azure datasets. The results show that our methodcan improve the satisfaction rate of SLOs by 12.57∼41.87% and achieve the lowest cold start rate compared to existing methods.</t>
  </si>
  <si>
    <t>NJFUG9TH</t>
  </si>
  <si>
    <t>10.32604/cmc.2025.062657</t>
  </si>
  <si>
    <t>Efficient resource provisioning, allocation, and computation offloading are critical to realizing low-latency, scalable, and energy-efficient applications in cloud, fog, and edge computing. Despite its importance, integrating Software Defined Networks (SDN) for enhancing resource orchestration, task scheduling, and traffic management remains a relatively underexplored area with significant innovation potential. This paper provides a comprehensive review of existing mechanisms, categorizing resource provisioning approaches into static, dynamic, and user-centric models, while examining applications across domains such as IoT, healthcare, and autonomous systems. The survey highlights challenges such as scalability, interoperability, and security in managing dynamic and heterogeneous infrastructures. This exclusive research evaluates how SDN enables adaptive policy-based handling of distributed resources through advanced orchestration processes. Furthermore, proposes future directions, including AI-driven optimization techniques and hybrid orchestration models. By addressing these emerging opportunities, this work serves as a foundational reference for advancing resource management strategies in next-generation cloud, fog, and edge computing ecosystems. This survey concludes that SDN-enabled computing environments find essential guidance in addressing upcoming management opportunities.</t>
  </si>
  <si>
    <t>FBA3Y55U</t>
  </si>
  <si>
    <t>Shojaee Rad, Zahra; Ghobaei-Arani, Mostafa</t>
  </si>
  <si>
    <t>Federated serverless cloud approaches: A comprehensive review</t>
  </si>
  <si>
    <t>10.1016/j.compeleceng.2025.110372</t>
  </si>
  <si>
    <t>The rise of serverless computing has transformed cloud services with its on-demand and event-driven execution models. This paper extends the serverless paradigm through federated serverless clouds, which distribute functions across various domains, alleviating challenges such as vendor lock-in and scalability. We propose a taxonomy of federated serverless cloud approaches, categorized into four distinct methods: Artificial Intelligence (AI)-level, data-level, platform-level, and resource-level approaches. This systematic literature review shows the strengths and weaknesses of each method. We found that AI-level approaches increase learning capabilities and excel in resource efficiency while increasing complexity. Data-level approaches increase data governance and allow processing and analysis to be performed closer to the data source, thereby reducing latency, but suffer from some interoperability issues and difficulty maintaining data consistency and synchronization across multiple servers can be challenging. Platform-level approaches provide scalability, but may lead to vendor lock-in. Resource-level approaches improve scalability, and reduce overall costs, but scheduling and efficiently managing resources across multiple servers can be complex and require robust management strategies. The paper concludes by identifying key challenges and open research directions such as cost, latency, performance and Interoperability, legal issues and regulations in federated environments.</t>
  </si>
  <si>
    <t>QW859P4Y</t>
  </si>
  <si>
    <t>10.1016/j.future.2024.107569</t>
  </si>
  <si>
    <t>As cloud demand for computation and network resources fluctuates, effective resource management becomes essential for optimizing allocation and enhancing performance in virtualization-based applications. Current methods struggle to efficiently schedule multiple virtual resources for dynamic workloads. To address this, we propose a self-adaptive elastic virtual resource management (EVRM) framework that comprises a monitor, analyzer, planner, and executor, enabling dynamic scheduling of CPU, memory, and bandwidth for virtual instances. Central to EVRM is a resource management model employing a novel deep reinforcement learning approach, the deep deterministic policy gradient-based resource allocation (DDPG-RA), which coordinates resource allocation by automatically exploring optimization policies and learning complex relationships between resource allocation and performance. Additionally, DDPG-RA features an action refinement algorithm to derive multiple resource allocations from its outputs. Experimental results using OpenStack demonstrate that EVRM significantly enhances performance, achieving approximately 52.87% faster benchmark completion times and a 41.37% reduction in average time under both light and heavy loads, outperforming three competing approaches while optimizing physical resource utilization.</t>
  </si>
  <si>
    <t>NN2JYEFG</t>
  </si>
  <si>
    <t>6th International Conference on Industry 4.0 and Smart Manufacturing</t>
  </si>
  <si>
    <t>Briatore, Federico; Braggio, Mattia</t>
  </si>
  <si>
    <t>Edge, Fog and Cloud Computing framework for flexible production</t>
  </si>
  <si>
    <t>A deep reinforcement learning approach towards distributed Function as a Service (FaaS) based edge application orchestration in cloud-edge continuum</t>
  </si>
  <si>
    <t>10.1016/j.jnca.2024.104042</t>
  </si>
  <si>
    <t>Serverless computing has emerged as a new cloud computing model which in contrast to IoT offers unlimited and scalable access to resources. This paradigm improves resource utilization, cost, scalability and resource management specifically in terms of irregular incoming traffic. While cloud computing has been known as a reliable computing and storage solution to host IoT applications, it is not suitable for bandwidth limited, real time and secure applications. Therefore, shifting the resources of the cloud-edge continuum towards the edge can mitigate these limitations. In serverless architecture, applications implemented as Function as a Service (FaaS), include a set of chained event-driven microservices which have to be assigned to available instances. IoT microservices orchestration is still a challenging issue in serverless computing architecture due to IoT dynamic, heterogeneous and large-scale environment with limited resources. The integration of FaaS and distributed Deep Reinforcement Learning (DRL) can transform serverless computing by improving microservice execution effectiveness and optimizing real-time application orchestration. This combination improves scalability and adaptability across the edge-cloud continuum. In this paper, we present a novel Deep Reinforcement Learning (DRL) based microservice orchestration approach for the serverless edge-cloud continuum to minimize resource utilization and delay. This approach, unlike existing methods, is distributed and requires a minimum subset of realistic data in each interval to find optimal compositions in the proposed edge serverless architecture and is thus suitable for IoT environment. Experiments conducted using a number of real-world scenarios demonstrate improvement of the number of successfully composed applications by 18%, respectively, compared to state-of-the art methods including Load Balance, Shortest Path algorithms.</t>
  </si>
  <si>
    <t>CZY8XMK7</t>
  </si>
  <si>
    <t>De Palma, Giuseppe; Giallorenzo, Saverio; Heideker, Alexandre; Trentin, Matteo; Trotta, Angelo; Zavattaro, Gianluigi</t>
  </si>
  <si>
    <t>Distributed serverless function scheduling in ad-hoc drone networks</t>
  </si>
  <si>
    <t>10.1016/j.adhoc.2025.103951</t>
  </si>
  <si>
    <t>The increasing use of Unmanned Aerial Vehicles (UAVs) in critical applications, such as disaster response, compels efficient communication and computation frameworks for highly dynamic ad-hoc networks. We present an interpretation of Function-as-a-Service serverless computing within the distributed settings of drone swarms to address their peculiar challenges in functionality deployment, resource allocation, and mission adaptability. We propose a novel two-layer network overlay architecture, combining a gossip-based topology management layer with a function scheduling layer to support distributed function scheduling. Our system introduces a declarative language of Ad-Hoc Allocation Priority Policies (AHAPP), tailored for ad-hoc drone networks, enabling flexible function deployment based on resource constraints and operational needs. The resulting combination addresses the volatility of UAVs networks by supporting execution semantics for stable- and dynamic-topology scenarios, function offloading, and resilience to network disruptions. We present experiments confirming that the features provided by our proposal support the efficient execution of serverless functions in ad-hoc drone networks, effectively handling their dynamic and heterogeneous nature, while achieving strong performance in terms of reliability, scheduling time, and communication overhead.</t>
  </si>
  <si>
    <t>FR5N5RPV</t>
  </si>
  <si>
    <t>Data &amp; Knowledge Engineering</t>
  </si>
  <si>
    <t>Nataraj, N; Nataraj, RV</t>
  </si>
  <si>
    <t>Derived multi-objective function for latency sensitive-based cloud object storage system using hybrid heuristic algorithm</t>
  </si>
  <si>
    <t>Computers in Biology and Medicine</t>
  </si>
  <si>
    <t>0010-4825</t>
  </si>
  <si>
    <t>10.1016/j.compbiomed.2024.109648</t>
  </si>
  <si>
    <t>This paper presents AIScholar, an intelligent research cloud platform developed based on artificial intelligence analysis methods and the OpenFaaS serverless framework, designed for intelligent analysis of clinical medical data with high scalability. AIScholar simplifies the complex analysis process by encapsulating a wide range of medical data analytics methods into a series of customizable cloud tools that emphasize ease of use and expandability, within OpenFaaS’s serverless computing framework. As a multifaceted auxiliary tool in medical scientific exploration, AIScholar accelerates the deployment of computational resources, enabling clinicians and scientific personnel to derive new insights from clinical medical data with unprecedented efficiency. A case study focusing on breast cancer clinical data underscores the practicality that AIScholar offers to clinicians for diagnosis and decision-making. Insights generated by the platform have a direct impact on the physicians’ ability to identify and address clinical issues, signifying its real-world application significance in clinical practice. Consequently, AIScholar makes a meaningful impact on medical research and clinical practice by providing powerful analytical tools to clinicians and scientific personnel, thereby promoting significant advancements in the analysis of clinical medical data.</t>
  </si>
  <si>
    <t>7GLHBB9I</t>
  </si>
  <si>
    <t>Wermann, Alexandre Gustavo; Wickboldt, Juliano Araujo</t>
  </si>
  <si>
    <t>KTWIN: A serverless Kubernetes-based Digital Twin platform</t>
  </si>
  <si>
    <t>10.1016/j.comnet.2025.111095</t>
  </si>
  <si>
    <t>Digital Twins (DTs) systems are virtual representations of physical assets allowing organizations to gain insights and improve existing processes. In practice, DTs require proper modeling, coherent development and seamless deployment along cloud and edge landscapes relying on established patterns to reduce operational costs. In this work, we propose KTWIN a Kubernetes-based Serverless Platform for Digital Twins. KTWIN was developed using the state-of-the-art open-source Cloud Native tools, allowing DT operators to easily define models through open standards and configure details of the underlying services and infrastructure. The experiments carried out with the developed prototype show that KTWIN can provide a higher level of abstraction to model and deploy a Digital Twin use case without compromising the solution scalability. The tests performed also show cost savings ranging between 60% and 80% compared to overprovisioned scenarios.</t>
  </si>
  <si>
    <t>UFUWG52T</t>
  </si>
  <si>
    <t>Li, Xin; Chen, Long; Yuan, Zian; Liu, Guangrui</t>
  </si>
  <si>
    <t>AIHO: Enhancing task offloading and reducing latency in serverless multi-edge-to-cloud systems</t>
  </si>
  <si>
    <t>10.1016/j.future.2024.107607</t>
  </si>
  <si>
    <t>Serverless edge computing provides a lightweight and easily scalable new paradigm for edge computing, which is widespread in many fields. However, its characteristics of fine-grained tasks, short startup times, and fast execution speed bring new challenges in task offloading and latency reduction. In this paper, we consider the task offloading problem of serverless functions in a multi-edge-to-cloud environment. A new hybrid offloading algorithm, Average latency constrained Independent task Hybrid Offloading (AIHO), is proposed aimed at reducing latency so as to enhance serverless computing in edge environment. AIHO integrates a serverless-based three-layer system framework, enabling strategic deployment of serverless functions closer to end devices, and includes four critical components: offloading decision, task sorting, path selection, and function replacement. The proposed algorithm is evaluated by comparing it to other three baselines for similar problems on the same datasets. By focusing more on horizontal collaboration among edge nodes based on the multi-hop communication mechanism, AIHO exhibits higher performance than other baselines. Experimental results demonstrate that it can significantly reduce average latency, optimize resource usage, and enhance overall resilience and efficiency of edge computing systems, marking a substantial advancement in serverless and edge computing integration.</t>
  </si>
  <si>
    <t>AEVETUDI</t>
  </si>
  <si>
    <t>CENTERIS - International Conference on ENTERprise Information Systems / ProjMAN - International Conference on Project MANagement / HCist - International Conference on Health and Social Care Information Systems and Technologies</t>
  </si>
  <si>
    <t>Seleiro, M.; Simão, J.; Datia, N.; Rebelo, R.; Pato, M.; Serrador, A.; Sampaio, P.</t>
  </si>
  <si>
    <t>A Serverless Approach for Resource-constrained Smart Locker Networks</t>
  </si>
  <si>
    <t>10.1016/j.procs.2025.02.157</t>
  </si>
  <si>
    <t>Online retail sales continue to grow, presenting couriers companies with a chance to enhance their market presence. Couriers must keep up with this trend in package processing and delivery. A modern solution is the use of smart lockers. These are equipped with a minimum amount of computing resources, while communicating efficiently with cloud supported services. To address these constraints, developers must consider the system architecture, deployment strategies, and data processing optimisation of the lockers (edge) and the main services (cloud), working alongside stakeholders to acquire the most appropriate hardware for the project. In this paper, we explore the use of a serverless architecture for smart locker. Using stateless functions and workflows, the locker can quickly and effectively react to events from the cloud and its own frontend, while supporting a lightweight serverless framework that provides an easy way to deploy and maintain the continuous software services/functions execution. These serverless frameworks have low resource requirements, allowing developers to utilize less resourceful hardware for the benefit of stakeholders. Additionally, a work-in-progress workflow prototype for the locker functions will also be presented, tested in a resource-constrained environment using faasd as the supporting framework, and compared against a more traditional service-oriented approach – Spring services. Our results show that serverless performed considerably well when compared to service-oriented solutions, with comparable results in terms of both memory usage and response latency.</t>
  </si>
  <si>
    <t>QSJESETQ</t>
  </si>
  <si>
    <t>Ali, Ahsan; Ma, Xiaolong; Zawad, Syed; Aditya, Paarijaat; Akkus, Istemi Ekin; Chen, Ruichuan; Yang, Lei; Yan, Feng</t>
  </si>
  <si>
    <t>Enabling scalable and adaptive machine learning training via serverless computing on public cloud</t>
  </si>
  <si>
    <t>10.1016/j.peva.2024.102451</t>
  </si>
  <si>
    <t>In today’s production machine learning (ML) systems, models are continuously trained, improved, and deployed. ML design and training are becoming a continuous workflow of various tasks that have dynamic resource demands. Serverless computing is an emerging cloud paradigm that provides transparent resource management and scaling for users and has the potential to revolutionize the routine of ML design and training. However, hosting modern ML workflows on existing serverless platforms has non-trivial challenges due to their intrinsic design limitations such as stateless nature, limited communication support across function instances, and limited function execution duration. These limitations result in a lack of an overarching view and adaptation mechanism for training dynamics, and an amplification of existing problems in ML workflows. To address the above challenges, we propose SMLT, an automated, scalable and adaptive serverless framework on public cloud to enable efficient and user-centric ML design and training. SMLT employs an automated and adaptive scheduling mechanism to dynamically optimize the deployment and resource scaling for ML tasks during training. SMLT further enables user-centric ML workflow execution by supporting user-specified training deadline and budget limit. In addition, by providing an end-to-end design, SMLT solves the intrinsic problems in public cloud serverless platforms such as the communication overhead, limited function execution duration, need for repeated initialization, and also provides explicit fault tolerance for ML training. SMLT is open-sourced and compatible with all major ML frameworks. Our experimental evaluation with large, sophisticated modern ML models demonstrates that SMLT outperforms the state-of-the-art VM-based systems and existing public cloud serverless ML training frameworks in both training speed (up to 8×) and monetary cost (up to 3×).</t>
  </si>
  <si>
    <t>99N8JBWV</t>
  </si>
  <si>
    <t>Engineering Applications of Artificial Intelligence</t>
  </si>
  <si>
    <t>Amini Sedeh, Mahdi; Sharifian, Saeed</t>
  </si>
  <si>
    <t>A serverless satellite edge computing infrastructure to detect lake shoreline change based on contrastive attention siamese transformer</t>
  </si>
  <si>
    <t>0952-1976</t>
  </si>
  <si>
    <t>10.1016/j.engappai.2025.111015</t>
  </si>
  <si>
    <t>Supporting food security, industrial activities, environmental well-being, and ecological balance, water resources are absolutely vital for life on Earth. Still, issues such as water shortage, pollution, and melting glaciers point to the need for sustainable water management techniques. Monitoring changes in the water surface depends on satellite images and remote sensing technologies, but conventional satellite systems suffer with data latency and bandwidth inefficiency. Through data processing closer to the source, latency reduction, and performance enhancement, edge computing has transformed these technologies. Still under study, though, more precise image analysis techniques—especially those based on deep learning models—remain a subject of inquiry. This work contributes to the changing world by proposing a novel serverless satellite edge computing infrastructure with an emphasis on lake shoreline dilatation, a crucial factor in water management. We developed transformer-based Siamese deep learning models as the foundation of the image analysis method. We specifically adjusted the transformer-based Siamese network by including contrastive attention in the fusion module of the model. The suggested model beats state-of-the-art models in overall accuracy by at least 1.75 % by assessing it using actual satellite photos of various lakes all around the planet. Better accuracy in identifying lake shoreline dilatation aids in our understanding of water movement and long-term responsible water resource management in addition to the suggested distributed serverless satellite edge computing infrastructure. This study marks a significant first step towards creatively tackling the problems with water availability and quality, therefore promoting a whole strategy to protect this priceless resource for next generations as well as present ones.</t>
  </si>
  <si>
    <t>7CYEXMGT</t>
  </si>
  <si>
    <t>A deep reinforcement learning based algorithm for time and cost optimized scaling of serverless applications</t>
  </si>
  <si>
    <t>10.1016/j.future.2025.107873</t>
  </si>
  <si>
    <t>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t>
  </si>
  <si>
    <t>5ZIAN3K6</t>
  </si>
  <si>
    <t>Wang, Zhengkai; Liu, Hui; Shang, Ertong; Wang, Quan; Du, Junzhao</t>
  </si>
  <si>
    <t>OCPNet: A deep learning model for online cloud load prediction</t>
  </si>
  <si>
    <t>SelfFed: Self-adaptive Federated Learning with Non-IID data on Heterogeneous Edge Devices for Bias Mitigation and Enhance Training Efficiency</t>
  </si>
  <si>
    <t>10.1016/j.inffus.2025.102932</t>
  </si>
  <si>
    <t>Federated learning (FL) offers a decentralized and collaborative training solution on resource-constraint Edge Devices (EDs) to improve a global model without sharing raw data. Standard Synchronous FL (SFL) approaches provide significant advantages in terms of data privacy and reduced communication overhead, however, face several challenges including Non-independent and identically distributed (Non-IID) data, the presence of unlabeled data, biased aggregation due to device heterogeneity and effective EDs selection to handle the straggler. To tackle these challenges, we propose a new Self-adaptive Federated Learning (SelfFed) strategy using a masked loss function to handle unlabeled data. This allows EDs to concentrate on labeled data, enhancing training efficiency. Additionally, we integrate a novel quality-dependent aggregation solution to mitigate bias during model updates through aggregation. This solution accurately reflects performance across Non-IID data distributions by incentivizing local EDs using a new Stackelberg game model. The model provides rewards based on their contributions to the global model, thereby keeping the EDs motivated to participate and perform well. Finally, we incorporate a deep reinforcement learning technique into the proposed SelfFed strategy for dynamic ED selection to handle straggler EDs. This technique adapts to changes in device performance and resources over iterations, fostering collaboration and sustained engagement. The performance of the SelfFed strategy is evaluated using a real-time SFL scenario (irrigation control in paddy fields) and three benchmark datasets using a serverless private cloud environment. Comparative results against state-of-the-art approaches reveal that the SelfFed significantly reduces CPU usage by 5%–6% and enhances training efficiency by 4%–8% while achieving 4%–6% higher accuracy. Further, in the real-time scenario, the SelfFed improves CPU usage by 3%–5% and enhances training efficiency by 8%–10% with 5%–7% higher accuracy.</t>
  </si>
  <si>
    <t>U7UAPU5Y</t>
  </si>
  <si>
    <t>International Journal of Cognitive Computing in Engineering</t>
  </si>
  <si>
    <t>2666-3074</t>
  </si>
  <si>
    <t>10.1016/j.ijcce.2025.02.007</t>
  </si>
  <si>
    <t>Desertification greatly affects land deterioration, farming efficiency, economic growth, and health, especially in Gulf nations. Climate change has worsened desertification, making developmental issues in the area even more difficult. This research presents an enhanced framework utilizing the Internet of Things (IoT) for ongoing monitoring, data gathering, and analysis to evaluate desertification patterns. The framework utilizes Bayesian Belief Networks (BBN) to categorize IoT data, while a low-latency processing method on edge computing platforms enables effective detection of desertification trends. The classified data is subsequently analyzed using an Artificial Neural Network (ANN) optimized with a Genetic Algorithm (GA) for forecasting decisions. Using cloud computing infrastructure, the ANN-GA model examines intricate data connections to forecast desertification risk elements. Moreover, the Autoregressive Integrated Moving Average (ARIMA) model is employed to predict desertification over varied time intervals. Experimental simulations illustrate the effectiveness of the suggested framework, attaining enhanced performance in essential metrics: Temporal Delay (103.68 s), Classification Efficacy—Sensitivity (96.44 %), Precision (95.56 %), Specificity (96.97 %), and F-Measure (96.69 %)—Predictive Efficiency—Accuracy (97.76 %) and Root Mean Square Error (RMSE) (1.95 %)—along with Reliability (93.73 %) and Stability (75 %). The results of classification effectiveness and prediction performance emphasize the framework's ability to detect high-risk zones and predict the severity of desertification. This innovative method improves the comprehension of desertification processes and encourages sustainable land management practices, reducing the socio-economic impacts of desertification and bolstering at-risk ecosystems. The results of the study hold considerable importance for enhancing regional efforts in combating desertification, ensuring food security, and formulating environmental sustainability policies.</t>
  </si>
  <si>
    <t>F46J4JZ9</t>
  </si>
  <si>
    <t>10.1016/j.adhoc.2025.103917</t>
  </si>
  <si>
    <t>Vehicle trajectory prediction (TP) plays a crucial role in autonomous driving systems and is the core elements to improve traffic conditions and reduce the risk of accidents. However, establishing accurate TP models in real-time still presents numerous challenges. Firstly, relying on a central server for real-time model updates not only poses the risk of privacy leakage, but also increases the resource load with frequent data interactions. In addition, considering the changes in driving habits and traffic environment during vehicle traveling, the use of static TP models can lead to underfitting. Therefore, this paper proposes a TP Training Scheme in Vehicular Ad-hoc Networks Based on Federated Learning (FL-VANETs). In FL-VANETs, a Vehicle Relevance-Oriented Collaborative Vehicle Node Selection Algorithm (VR-CVNS) is designed to ensure that the reasonable construction of a decentralized Ad-hoc networks and enable serverless computing, thereby optimizing computational and communication efficiency. Additionally, through the FL framework, vehicle computing tasks are categorized, ensuring privacy security in the VANETs and enabling dynamic training of the TP model during vehicle movement, thereby improving the model’s predictive accuracy. The effectiveness and improvement of the method are verified through experiments and simulations.</t>
  </si>
  <si>
    <t>JI84XQXG</t>
  </si>
  <si>
    <t>Cyber Security and Applications</t>
  </si>
  <si>
    <t>Gupta, Brij B.; Gaurav, Akshat; Arya, Varsha; Bansal, Shavi; Attar, Razaz Waheeb; Alhomoud, Ahmed; Psannis, Konstantinos</t>
  </si>
  <si>
    <t>Earthworm optimization algorithm based cascade LSTM-GRU model for android malware detection</t>
  </si>
  <si>
    <t>Science of Computer Programming</t>
  </si>
  <si>
    <t>Mi Superpoder es la Programación: A tool for teaching programming to children and youth</t>
  </si>
  <si>
    <t>0167-6423</t>
  </si>
  <si>
    <t>10.1016/j.scico.2024.103198</t>
  </si>
  <si>
    <t>Mi Superpoder es la Programación is a web tool designed to teach programming to children and young people. It focuses on developing logical thinking through interactive exercises that cover computer parts recognition, sequences, patterns, and flowcharts. The tool was developed to address the educational needs identified in the social project of the same name, where modern technologies and a serverless-based architecture were used to create an accessible and effective solution for teaching programming. Initial results indicate that students found the tool useful and demonstrated improvements in their understanding of computational logic. This analysis is framed within the global challenge of teaching programming to children and youth, demonstrating the potential of gamified tools across diverse educational contexts. Future plans include expanding the tool to incorporate more modules, allowing customization by teachers, and conducting broader evaluations in different educational environments.</t>
  </si>
  <si>
    <t>QD8XK3AP</t>
  </si>
  <si>
    <t>Digital Engineering</t>
  </si>
  <si>
    <t>Bello, Sururah A.; Oyedele, Lukumon O.; Akanbi, Lukman A.; Bello, Abdul-Lateef</t>
  </si>
  <si>
    <t>Cloud computing for chatbot in the construction industry: An implementation framework for conversational-BIM voice assistant</t>
  </si>
  <si>
    <t>10.1016/j.future.2025.107731</t>
  </si>
  <si>
    <t>The problem of insufficient storage space caused by the full-replication mechanism, which is commonly employed in existing blockchains, poses an obstacle to system scalability. Moreover, existing storage sharding mechanisms are confronted with the risk of data tampering by reason of the existence of Byzantine nodes. To address the above problems, the storage partition mechanisms, integrating Erasure Coding with Byzantine Fault Tolerance consensus protocol, are proposed such as BFT-Store and PartitionChain. While promising, these solutions still encounter three significant challenges. First, the substantial computational complexity associated with encoding during data storage and decoding during data recovery will impede the efficiency (e.g., latency and throughput) of the permissioned blockchain. Second, the signature schemes employed for verifying the completeness and correctness of encoded data on each node lead to massive communication over the network, thereby further limiting the system efficiency. Third, the process of system re-initialization, which necessitates the participation of all nodes, degrades the system stability. This paper proposes a Multi-group Collaborative Parallel Data Storage Mechanism for Permissioned Blockchain Sharding called GPartition-Store to alleviate the above problems, where the nodes are divided into multiple Storage Groups (SGs). First, the original block is partitioned into g sub-blocks (assuming g is the number of SGs), with each sub-block being further partitioned and encoded into smaller encoded-blocks or recovered by decoding in parallel across all SGs. Hence, the computational complexity of coding (i.e., encoding and decoding) can be decreased by about g2 and g3 times respectively. Second, the bloom filter is utilized to generate the verification proofs of the sub-blocks and encoded-block sets, which simultaneously avoids the heavy amount of transmitted messages, while liberating the requirement for dependence on any trusted third party. Third, the re-initialization process is launched exclusively within a specific SG when a node joins/quits the system or a single crashed node needs repair, thereby enhancing the system stability. Compared with the full-replication mechanism, BFT-Store and PartitionChain, the experimental results illustrate that GPartition-Store can improve the scalability, efficiency and stability of the dynamic blockchain network while maintaining the availability of the blocks.</t>
  </si>
  <si>
    <t>10.1016/j.comcom.2025.108107</t>
  </si>
  <si>
    <t>Conditional Handover (CHO) by the 3rd Generation Partnership Project (3GPP) enables efficient user mobility between Base Stations (BSs) by preselecting and preparing Target BSs (T-BSs). However, CHO relies on signal strength for T-BS selection, leading to resource blocking on multiple T-BSs due to signal fluctuations. Existing state-of-the-art methods use deep learning to narrow the list of T-BSs but still lack an effective method for resource reservation timing. This paper presents in-time CHO (iCHO) which exploits historical mobility data to estimate user dwell time at the current BS to reduce resource reservation duration. The proposed iCHO employs a Multivariate Multi-output Single-step Prediction (MMSP) model that leverages a multi-task learning approach to simultaneously predict the minimal list of required T-BSs together with the user dwell time. The model demonstrates remarkable performance across two mobility datasets of different scales, achieving T-BS prediction accuracies of 98% and 95%. It also ensures a 100% handover success rate with a minimum of three and four predicted T-BSs for both datasets, respectively, significantly limiting the list of T-BSs. Moreover, the MMSP model achieves a Mean Absolute Error (MAE) of 19s and 45s when predicting the user’s dwell time at the current BS. By utilizing these predictions, iCHO reserves resources at the minimum number of T-BSs immediately before handover. Thus, iCHO can save up to 99% of resources from blockage as compared to the CHO, enabling operators to increase revenue by serving up to eighteen more users with the saved resources.</t>
  </si>
  <si>
    <t>ZF7N9L4K</t>
  </si>
  <si>
    <t>Odeh, Ammar; Taleb, Anas Abu</t>
  </si>
  <si>
    <t>Federated Learning and Blockchain Framework for Scalable and Secure IoT Access Control</t>
  </si>
  <si>
    <t>Zhang, Xinrui; Zhao, Pincan; Jaskolka, Jason</t>
  </si>
  <si>
    <t>Navigating the DevOps landscape</t>
  </si>
  <si>
    <t>10.1016/j.jss.2024.112331</t>
  </si>
  <si>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</si>
  <si>
    <t>NQVJHKCX</t>
  </si>
  <si>
    <t>Zhang, Yang; Wu, Yiwen; Wang, Tao; Ding, Bo; Wang, Huaimin</t>
  </si>
  <si>
    <t>What problems are MLOps practitioners talking about? A study of discussions in Stack Overflow forum and GitHub projects</t>
  </si>
  <si>
    <t>4th International Conference on Evolutionary Computing and Mobile Sustainable Networks</t>
  </si>
  <si>
    <t>Peddarapu, Rama Krishna; Anogna, Sudagoni; Harshini, M N S Sri; Sireesha, J; Rathna, K Guna</t>
  </si>
  <si>
    <t>Document Summarizer: A Machine Learning approach to PDF summarization</t>
  </si>
  <si>
    <t>C2Y8KZAD</t>
  </si>
  <si>
    <t>Author full names</t>
  </si>
  <si>
    <t>Author(s) ID</t>
  </si>
  <si>
    <t>Year</t>
  </si>
  <si>
    <t>Source title</t>
  </si>
  <si>
    <t>Cited by</t>
  </si>
  <si>
    <t>Index Keywords</t>
  </si>
  <si>
    <t>Document Type</t>
  </si>
  <si>
    <t>Source</t>
  </si>
  <si>
    <t>EID</t>
  </si>
  <si>
    <t>Computing</t>
  </si>
  <si>
    <t>Article</t>
  </si>
  <si>
    <t>Scopus</t>
  </si>
  <si>
    <t>Concurrency and Computation: Practice and Experience</t>
  </si>
  <si>
    <t>Torres-Charles C.; Sanchez-Gallegos D.D.; Carrizales-Espinoza D.; Gonzalez-Compean J.L.; Carretero J.</t>
  </si>
  <si>
    <t>Torres-Charles, Catherine (58055141700); Sanchez-Gallegos, Dante D. (57204689763); Carrizales-Espinoza, Diana (57218215463); Gonzalez-Compean, J.L. (57213190221); Carretero, Jesus (7101919482)</t>
  </si>
  <si>
    <t>58055141700; 57204689763; 57218215463; 57213190221; 7101919482</t>
  </si>
  <si>
    <t>OrbiFaaS: An orbital method to build Continuum Earth Observation Systems</t>
  </si>
  <si>
    <t>10.1016/j.future.2025.107992</t>
  </si>
  <si>
    <t>Earth observation (EO) problems require processing large volumes of data, such as those involved in environmental studies using diverse spatiotemporal variables. In this context, the computing continuum offers a promising model to support EO tasks. It enables low-latency data processing near ground stations and broad data sharing through the cloud. Nevertheless, designing systems in the computing continuum introduces challenges. One is the coordination of distributed entities across different computational environments (e.g., the edge, the fog, or the cloud). Another is managing data across heterogeneous infrastructures. This paper presents OrbiFaaS, a serverless-based method for building Continuum Earth Observation Systems (EOS) using an orbital model. OrbiFaaS organizes a continuum EOS as a system of multiple orbits, each representing a different computational environment arranged around a core of data sources. Orbits near the core correspond to low-latency environments (e.g., the edge), while those farther away exhibit higher latencies (e.g., the cloud). Each orbit contains satellites, which represent service provider infrastructures. Organizations can use these satellites to deploy multiple data management services, such as containerized microservices or functions. Satellites are interconnected using data containers that establish communication channels based on available filesystem, memory, and network resources. We evaluate OrbiFaaS in a case study involving the processing of satellite images across multiple environments. Our experimental results demonstrate the feasibility and efficiency of OrbiFaaS for constructing Earth observation systems. © 2025 The Authors</t>
  </si>
  <si>
    <t>Big data; E-science; Earth observation services; Environmental indexes; Serverless computing</t>
  </si>
  <si>
    <t>Communication satellites; Containers; Data handling; Edge computing; Information management; Orbits; Satellite ground stations; Computational environments; E-sciences; Earth observation service; Earth observation systems; Earth observations; Environmental index; Large volumes; Low latency; Orbital method; Serverless computing; Big data</t>
  </si>
  <si>
    <t>2-s2.0-105010339633</t>
  </si>
  <si>
    <t>Cluster Computing</t>
  </si>
  <si>
    <t>Journal of Cloud Computing</t>
  </si>
  <si>
    <t>VLDB Journal</t>
  </si>
  <si>
    <t>Mampage A.; Karunasekera S.; Buyya R.</t>
  </si>
  <si>
    <t>Mampage, Anupama (57224891464); Karunasekera, Shanika (55925860100); Buyya, Rajkumar (57194845546)</t>
  </si>
  <si>
    <t>57224891464; 55925860100; 57194845546</t>
  </si>
  <si>
    <t>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 © 2025</t>
  </si>
  <si>
    <t>Function latency; Function scaling; Reinforcement learning; Resource cost efficiency; Serverless computing</t>
  </si>
  <si>
    <t>Cold-start; Cost-efficiency; Function latency; Function scaling; Reinforcement learnings; Resource cost efficiency; Resource costs; Scalings; Serverless computing; Serverless systems; Computer aided instruction</t>
  </si>
  <si>
    <t>2-s2.0-105005089574</t>
  </si>
  <si>
    <t>Journal of Supercomputing</t>
  </si>
  <si>
    <t>Kim Y.; Kim B.; Song T.; Ko H.</t>
  </si>
  <si>
    <t>Kim, Yumi (57396258500); Kim, Bokyeong (59109408500); Song, Taewon (38962106800); Ko, Haneul (55360236500)</t>
  </si>
  <si>
    <t>57396258500; 59109408500; 38962106800; 55360236500</t>
  </si>
  <si>
    <t>Neighbor-aware shared container instance warming framework for serverless edge computing</t>
  </si>
  <si>
    <t>10.1016/j.future.2025.107986</t>
  </si>
  <si>
    <t>In serverless edge computing, cold starts can hinder timely task execution. In this paper, we propose a neighbor-aware shared container instance warming (NA-SCIW) framework. NA-SCIW employs two key concepts: (1) shared container instances; and (2) a cooperative keep-warming mechanism. By enabling multiple IoT devices to share a container instance, the framework ensures that as long as at least one request is made, the instance remains warm, preventing cold starts. However, if no requests are generated for a certain period, the shared instance transitions to a cold state. To mitigate this, NA-SCIW introduces a cooperative keep-warming mechanism, where each IoT device strategically decides whether to send a virtual request based on the actions of nearby devices. We formulate the problem as a constrained stochastic game model, aiming to minimize cold start occurrences while keeping the average additional traffic overhead and energy outage probability of IoT devices within acceptable limits. To solve this model, we develop an algorithm based on best response dynamics. Evaluation results demonstrate that NA-SCIW effectively reduces cold start probability while ensuring low traffic overhead and minimal energy depletion for IoT devices. © 2025 Elsevier B.V.</t>
  </si>
  <si>
    <t>Cloud; Cold start; Container management; Internet of things (IoT); Serverless computing</t>
  </si>
  <si>
    <t>Containers; Edge computing; Internet of things; Starting; Stochastic models; Cold state; Cold-start; Container management; Edge computing; Game models; Internet of thing; Serverless computing; Stochastic game; Task executions; Traffic overhead; Stochastic systems</t>
  </si>
  <si>
    <t>2-s2.0-105010190731</t>
  </si>
  <si>
    <t>Singh N.; Adhikari M.</t>
  </si>
  <si>
    <t>Singh, Neha (59737244400); Adhikari, Mainak (56340886300)</t>
  </si>
  <si>
    <t>59737244400; 56340886300</t>
  </si>
  <si>
    <t>Federated learning (FL) offers a decentralized and collaborative training solution on resource-constraint Edge Devices (EDs) to improve a global model without sharing raw data. Standard Synchronous FL (SFL) approaches provide significant advantages in terms of data privacy and reduced communication overhead, however, face several challenges including Non-independent and identically distributed (Non-IID) data, the presence of unlabeled data, biased aggregation due to device heterogeneity and effective EDs selection to handle the straggler. To tackle these challenges, we propose a new Self-adaptive Federated Learning (SelfFed) strategy using a masked loss function to handle unlabeled data. This allows EDs to concentrate on labeled data, enhancing training efficiency. Additionally, we integrate a novel quality-dependent aggregation solution to mitigate bias during model updates through aggregation. This solution accurately reflects performance across Non-IID data distributions by incentivizing local EDs using a new Stackelberg game model. The model provides rewards based on their contributions to the global model, thereby keeping the EDs motivated to participate and perform well. Finally, we incorporate a deep reinforcement learning technique into the proposed SelfFed strategy for dynamic ED selection to handle straggler EDs. This technique adapts to changes in device performance and resources over iterations, fostering collaboration and sustained engagement. The performance of the SelfFed strategy is evaluated using a real-time SFL scenario (irrigation control in paddy fields) and three benchmark datasets using a serverless private cloud environment. Comparative results against state-of-the-art approaches reveal that the SelfFed significantly reduces CPU usage by 5%–6% and enhances training efficiency by 4%–8% while achieving 4%–6% higher accuracy. Further, in the real-time scenario, the SelfFed improves CPU usage by 3%–5% and enhances training efficiency by 8%–10% with 5%–7% higher accuracy. © 2025</t>
  </si>
  <si>
    <t>Dynamic scaling; Federated learning; Incentive mechanism; Pop-up ad-hoc networks; Serverless data pipelines; Stackelberg game model</t>
  </si>
  <si>
    <t>Adversarial machine learning; Contrastive Learning; Deep reinforcement learning; Reinforcement learning; Self-supervised learning; Ad-hoc networks; Data pipelines; Dynamic scaling; Game models; Incentive mechanism; Pop-up ad-hoc network; Serverless data pipeline; Stackelberg game model; Stackelberg Games; Training efficiency; Federated learning</t>
  </si>
  <si>
    <t>2-s2.0-85214582408</t>
  </si>
  <si>
    <t>Electronics (Switzerland)</t>
  </si>
  <si>
    <t>Internet of Things (The Netherlands)</t>
  </si>
  <si>
    <t>Chen Y.; Liu B.; Lin W.; Guo Y.; Peng Z.</t>
  </si>
  <si>
    <t>Chen, Yu (59731093000); Liu, Bo (55574234317); Lin, Weiwei (55723146900); Guo, Yulin (59458590800); Peng, Zhiping (16239814900)</t>
  </si>
  <si>
    <t>59731093000; 55574234317; 55723146900; 59458590800; 16239814900</t>
  </si>
  <si>
    <t>Serverless computing, also known as Functions as a Service (FaaS), is an emerging cloud deployment paradigm that offers advantages such as pay-as-you-go pricing and automatic scaling. Functions often suffer from cold starts delays due to the overhead of initializing code and data dependencies before execution. Retaining containers in memory for a period after execution can reduce cold start latency. However, existing application-layer solutions overlook the effect of cold start overhead on the availability of containers, resulting in suboptimal balance between cold start latency and memory resource utilization. Furthermore, these strategies typically overlook the optimization of overall cold start overhead, which is essential for enhancing system efficiency. To address these challenges, we propose the Cache-Based Adaptive Scheduler for Serverless Runtime (CASR), an adaptive strategy for managing container runtime configurations. CASR effectively balances cold start latency and memory utilization while reducing overall cold start overhead. Specifically, we introduce a serverless cache (S-Cache) that leverages the equivalence between caching problems and container keep-alive strategies to mitigate cold starts. Additionally, we develop a deep reinforcement learning model, based on the proximal policy optimization algorithm, to enable the automatic scaling of the S-Cache queue, allowing adaptation to dynamic cloud workloads and enhancing memory resource utilization. Extensive simulations on an Azure dataset show that CASR reduces cold starts by 38.75%, improves memory resource utilization by 46.73%, and decreases cold start overhead by 48.53% compared to existing container keep-alive strategies in serverless platforms under common workloads. © 2025 Elsevier B.V.</t>
  </si>
  <si>
    <t>Caching; Cloud computing; Cold start; Serverless computing</t>
  </si>
  <si>
    <t>Automatic scaling; Caching; Cloud deployments; Cloud-computing; Cold-start; Keep-alive; Memory resources; Resources utilizations; Runtimes; Serverless computing; Cloud platforms</t>
  </si>
  <si>
    <t>2-s2.0-105002323098</t>
  </si>
  <si>
    <t>Serrano-Gutierrez P.; Ayala I.; Fuentes L.</t>
  </si>
  <si>
    <t>Serrano-Gutierrez, Pablo (57221609483); Ayala, Inmaculada (36607492300); Fuentes, Lidia (7006580503)</t>
  </si>
  <si>
    <t>57221609483; 36607492300; 7006580503</t>
  </si>
  <si>
    <t>Context: The increasing environmental impact of Information and Communication Technologies (ICTs), particularly the energy consumption associated with serverless applications, necessitates the development of methodologies to optimize energy efficiency. This study addresses the need for energy-aware design and runtime adaptation in serverless architectures. Objective: To develop and validate a methodology that integrates energy monitoring into the development and runtime management of serverless applications, thereby enabling significant reductions in energy consumption while maintaining functionality. Methods: A new version of FUSPAQ, a framework for the optimization of serverless applications, was developed. This version incorporates tools like Kepler for real-time energy monitoring and employs an energy-aware orchestration mechanism to dynamically select energy-efficient function configurations. Validation was conducted through a facial recognition case study and benchmark experiments, comparing energy consumption across different scenarios with and without the proposed adaptations. Results: The enhanced FUSPAQ framework successfully integrated energy consumption metrics into the decision-making process for function selection and runtime adaptation. Benchmark tests confirmed the scalability of the solution, with energy-efficient outcomes even in complex applications. Conclusion: The study highlights the potential of integrating energy-aware practices in serverless applications, presenting a scalable and practical approach to reducing their environmental footprint. By leveraging tools like Kepler and frameworks like FUSPAQ, developers can achieve significant energy savings without compromising application performance. This work contributes to the advancement of Green Software Engineering by emphasizing runtime energy adaptation in Function-as-a-Service (FaaS) architectures. © 2025 The Authors</t>
  </si>
  <si>
    <t>Energy consumption; Kepler; Self-adaptive; Serverless; Sustainability</t>
  </si>
  <si>
    <t>Benchmarking; Decision making; Energy development; Energy efficiency; Energy management; Environmental impact; Green computing; Optimization; Software engineering; Energy; Energy aware; Energy efficient; Energy monitoring; Energy-consumption; Information and Communication Technologies; Keple; Runtime adaptation; Self-adaptive; Serverless; Energy utilization; Sustainable development</t>
  </si>
  <si>
    <t>2-s2.0-105009718892</t>
  </si>
  <si>
    <t>De Palma G.; Giallorenzo S.; Mauro J.; Trentin M.; Zavattaro G.</t>
  </si>
  <si>
    <t>De Palma, Giuseppe (57221111944); Giallorenzo, Saverio (55932233200); Mauro, Jacopo (35183522700); Trentin, Matteo (57219765162); Zavattaro, Gianluigi (6701571633)</t>
  </si>
  <si>
    <t>57221111944; 55932233200; 35183522700; 57219765162; 6701571633</t>
  </si>
  <si>
    <t>tAPP OpenWhisk: A serverless platform for topology-aware allocation priority policies</t>
  </si>
  <si>
    <t>10.1016/j.scico.2025.103349</t>
  </si>
  <si>
    <t>The Function-as-a-Service (FaaS) paradigm offers a serverless approach that abstracts the management of underlying infrastructure, enabling developers to focus on application logic. However, leveraging infrastructure-aware features can further optimize serverless performance. We present a software prototype that enhances Apache OpenWhisk serverless platform with a novel architecture incorporating tAPP (topology-aware Allocation Priority Policies), a declarative language designed for specifying topology-aware scheduling policies. Through a case study involving distributed data access across multiple cloud regions, we show that tAPP can significantly reduce latency and minimizes performance variability compared to the standard OpenWhisk implementation. © 2025 The Author(s)</t>
  </si>
  <si>
    <t>Cloud optimization; Function-as-a-Service; Serverless; Topology-awareness</t>
  </si>
  <si>
    <t>Cloud platforms; Cloud storage; Infrastructure as a service (IaaS); Platform as a Service (PaaS); Software as a service (SaaS); Software prototyping; Storage as a service (STaaS); Application logic; Cloud optimization; Function-as-a-service; Optimisations; Performance; Priority policies; Serverless; Service paradigm; Topology aware; Topology-awareness; Distributed cloud</t>
  </si>
  <si>
    <t>2-s2.0-105007553599</t>
  </si>
  <si>
    <t>Birajdar P.A.; Meena D.; Satpathy A.; Addya S.K.</t>
  </si>
  <si>
    <t>Birajdar, Priyanka Ashok (57221602614); Meena, Divya (58894082000); Satpathy, Anurag (57195936277); Addya, Sourav Kanti (56538204500)</t>
  </si>
  <si>
    <t>57221602614; 58894082000; 57195936277; 56538204500</t>
  </si>
  <si>
    <t>DCRDA: deadline-constrained function scheduling in serverless-cloud platform</t>
  </si>
  <si>
    <t>10.1007/s10586-024-05058-2</t>
  </si>
  <si>
    <t>The serverless computing model frees developers from operational and management tasks, allowing them to focus solely on business logic. This paper addresses the computationally challenging function-container-virtual machine (VM) scheduling problem, especially under stringent deadline constraints. We propose a two-stage holistic scheduling framework called DCRDA targeting deadline-constrained function scheduling. In the first stage, the function-to-container scheduling is modeled as a one-to-one matching game and solved using the classical Deferred Acceptance Algorithm (DAA). The second stage addresses the container-to-VM assignment, modeled as a many-to-one matching problem, and solved using a variant of the DAA, the Revised-Deferred Acceptance Algorithm (RDA), to account for heterogeneous resource demands. Since matching-based strategies require agent preferences, a Technique for Order Preference by Similarity to Ideal Solution (TOPSIS) ranking mechanism is employed to prioritize alternatives based on execution time, deadlines, and resource demands. The primary goal of DCRDA is to maximize the success ratio (SR), defined as the ratio of functions executed within the deadline to the total functions. Extensive test-bed validations over commercial providers such as Amazon EC2 show that the proposed framework significantly improves the success ratio compared to baseline approaches. © The Author(s), under exclusive licence to Springer Science+Business Media, LLC, part of Springer Nature 2025.</t>
  </si>
  <si>
    <t>Containers; Function-as-a-service (FaaS); Matching theory; Serverless computing; Technique for Order Preference by Similarity to Ideal Solution (TOPSIS); Virtual machines (VMs)</t>
  </si>
  <si>
    <t>Network security; Response time (computer systems); Scheduling algorithms; Virtual machine; Cloud platforms; Constrained function; Function-as-a-service; Matching theory; Resource demands; Serverless computing; Success ratio; Technique for order preference by similarities to ideal solutions; Technique for order preference by similarity to ideal solution; Virtual machine; Containers</t>
  </si>
  <si>
    <t>2-s2.0-105008075964</t>
  </si>
  <si>
    <t>Duan J.; Qian S.; Hu H.; Yang D.; Cao J.; Xue G.</t>
  </si>
  <si>
    <t>Duan, Jiaang (57219421542); Qian, Shiyou (55322690200); Hu, Hanwen (57196326817); Yang, Dingyu (56138675600); Cao, Jian (57218980017); Xue, Guangtao (7202468123)</t>
  </si>
  <si>
    <t>57219421542; 55322690200; 57196326817; 56138675600; 57218980017; 7202468123</t>
  </si>
  <si>
    <t>Proceedings of the ACM on Measurement and Analysis of Computing Systems</t>
  </si>
  <si>
    <t>The fusion of serverless computing and deep learning (DL) has led to serverless inference, offering a promising approach for developing and deploying scalable and cost-efficient deep learning inference services (DLISs). However, the challenge of cold start presents a significant obstacle for DLISs, where DL model size greatly impacts latency. Existing studies mitigate cold starts by extending keep-alive times, which unfortunately leads to decreased resource utilization efficiency. To address this issue, we introduce PipeCo, a system designed to alleviate DLIS cold start. The core concept of PipeCo is to achieve the miniaturization and pipelining of DLIS cold start. Firstly, PipeCo utilizes a vertical partitioning approach to divide each DLIS into multiple slices, prewarming slices in a sequential and overlapping manner to decrease the overall cold-start latency. Secondly, PipeCo employs an attention-based prediction mechanism to estimate periodic patterns in requests and idle containers for scheduling slices. Thirdly, PipeCo incorporates a similarity-based container matcher for the reuse of idle containers. We implemented a prototype of PipeCo on the OpenFaaS platform and conducted extensive experiments using three real-world DLIS repositories. The results demonstrate that PipeCo effectively decreases end-to-end (E2E) latency by up to 62.67% on CPU and 58.81% on GPU clusters and reduces the overall resource usage by 65.31% compared to five state-of-the-art baselines. © 2025 ACM.</t>
  </si>
  <si>
    <t>cold start; deep learning inference service; Serverless computing</t>
  </si>
  <si>
    <t>Cold-start; Cost-efficient; Deep learning inference service; Keep-alive; Learning models; Miniaturisation; Model size; Resources utilizations; Serverless computing; Utilization efficiency; Distributed computer systems</t>
  </si>
  <si>
    <t>2-s2.0-105007142138</t>
  </si>
  <si>
    <t>Multimedia Tools and Applications</t>
  </si>
  <si>
    <t>Journal of Grid Computing</t>
  </si>
  <si>
    <t>Proceedings of the ACM on Programming Languages</t>
  </si>
  <si>
    <t>Shojaee Rad Z.; Ghobaei-Arani M.</t>
  </si>
  <si>
    <t>Shojaee Rad, Zahra (58884894000); Ghobaei-Arani, Mostafa (57189577393)</t>
  </si>
  <si>
    <t>58884894000; 57189577393</t>
  </si>
  <si>
    <t>The rise of serverless computing has transformed cloud services with its on-demand and event-driven execution models. This paper extends the serverless paradigm through federated serverless clouds, which distribute functions across various domains, alleviating challenges such as vendor lock-in and scalability. We propose a taxonomy of federated serverless cloud approaches, categorized into four distinct methods: Artificial Intelligence (AI)-level, data-level, platform-level, and resource-level approaches. This systematic literature review shows the strengths and weaknesses of each method. We found that AI-level approaches increase learning capabilities and excel in resource efficiency while increasing complexity. Data-level approaches increase data governance and allow processing and analysis to be performed closer to the data source, thereby reducing latency, but suffer from some interoperability issues and difficulty maintaining data consistency and synchronization across multiple servers can be challenging. Platform-level approaches provide scalability, but may lead to vendor lock-in. Resource-level approaches improve scalability, and reduce overall costs, but scheduling and efficiently managing resources across multiple servers can be complex and require robust management strategies. The paper concludes by identifying key challenges and open research directions such as cost, latency, performance and Interoperability, legal issues and regulations in federated environments. © 2025 Elsevier Ltd</t>
  </si>
  <si>
    <t>Cloud computing; Federated serverless clouds; Hybrid cloud; Multi-cloud; Serverless computing</t>
  </si>
  <si>
    <t>Cloud platforms; Distributed cloud; Enterprise resource planning; Cloud services; Cloud-computing; Data level; Federated serverless cloud; Hybrid clouds; Lock-in; Multi-clouds; Multiple servers; Resource levels; Serverless computing; Resource allocation</t>
  </si>
  <si>
    <t>2-s2.0-105004038766</t>
  </si>
  <si>
    <t>Zafarzade Z.; Ataie E.</t>
  </si>
  <si>
    <t>Zafarzade, Zahra (59760379400); Ataie, Ehsan (58325580200)</t>
  </si>
  <si>
    <t>59760379400; 58325580200</t>
  </si>
  <si>
    <t>Capacity planning of a microservices-based image classification application using analytic modeling</t>
  </si>
  <si>
    <t>10.1007/s00607-025-01473-4</t>
  </si>
  <si>
    <t>With the growing demand for scalable and efficient distributed systems, microservices and serverless architectures have become key enablers for modern applications. This study focuses on designing a microservices-based image classification workflow that integrates an ensemble learning algorithm to achieve robust and accurate predictions. The workflow is modeled using Extended Queueing Networks, enabling detailed representation of function stations and their associated queues. To assess system performance and ensure Quality of Service, key metrics are defined, and the model is analyzed using Java Modeling Tools. Performance analysis at both the station and system levels highlight critical bottlenecks and inform a capacity planning strategy to ensure stability under varying workloads. The results show that the proposed capacity planning approach can avoid overutilization by dynamically increasing the number of function instances, thus maintaining the utilization of all resources within a predefined range. This research provides valuable insights into designing reliable, scalable, and efficient workflows on Function-as-a-Service platforms, addressing the challenges of queue management and system overutilization in serverless environments. © The Author(s), under exclusive licence to Springer-Verlag GmbH Austria, part of Springer Nature 2025.</t>
  </si>
  <si>
    <t>Extended queueing network; Image classification; Microservices; Performance modeling; Quality of service; Serverless computing</t>
  </si>
  <si>
    <t>Client server computer systems; Cluster computing; Distributed cloud; Grid computing; Image classification; Quality of service; Analytic modeling; Capacity planning; Extended queueing network; Growing demand; Images classification; Microservice; Performance Modeling; Quality-of-service; Serverless computing; Work-flows; Queueing networks</t>
  </si>
  <si>
    <t>2-s2.0-105003858557</t>
  </si>
  <si>
    <t>Daraghmeh M.; Jararweh Y.; Agarwal A.</t>
  </si>
  <si>
    <t>Daraghmeh, Mustafa (57199570919); Jararweh, Yaser (25825095600); Agarwal, Anjali (7401480883)</t>
  </si>
  <si>
    <t>57199570919; 25825095600; 7401480883</t>
  </si>
  <si>
    <t>Leveraging machine learning and feature engineering for optimal data-driven scaling decision in serverless computing</t>
  </si>
  <si>
    <t>Simulation Modelling Practice and Theory</t>
  </si>
  <si>
    <t>10.1016/j.simpat.2025.103090</t>
  </si>
  <si>
    <t>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t>
  </si>
  <si>
    <t>Feature engineering; Machine learning; Resource provisioning; Serverless computing</t>
  </si>
  <si>
    <t>Resource allocation; Cold-start; Data driven; Feature engineerings; Intelligent data; Machine-learning; Optimal data; Performance; Resource provisioning; Scalings; Serverless computing; Dimensionality reduction</t>
  </si>
  <si>
    <t>2-s2.0-85218143577</t>
  </si>
  <si>
    <t>Software - Practice and Experience</t>
  </si>
  <si>
    <t>Internet Technology Letters</t>
  </si>
  <si>
    <t>Li M.; Xu F.; Wu Y.; Zhang J.; Xu W.; Wu Y.</t>
  </si>
  <si>
    <t>Li, Ming (57304384900); Xu, Furong (59731286700); Wu, Yuqin (57194773651); Zhang, Jianshan (57209746705); Xu, Weitao (57188754808); Wu, Yuezhong (58737156800)</t>
  </si>
  <si>
    <t>57304384900; 59731286700; 57194773651; 57209746705; 57188754808; 58737156800</t>
  </si>
  <si>
    <t>Edge computing brings computing resources closer to the Internet of Things (IoT) devices, significantly reducing transmission latency and bandwidth usage. However, the limited resources of edge servers require efficient management. Serverless computing meets this demand through its elastic resource provisioning, leading to the emergence of serverless edge computing—a promising computing paradigm. Despite its potential, real-time task dispatching and scheduling in the highly complex and dynamic environment of serverless edge computing present significant challenges. On the one hand, task execution requires not only sufficient CPU resources but also free containers; on the other hand, tasks are typically event-driven, with strong burstiness and high concurrency, and impose stringent demands on fast decision-making. To address these challenges, we propose a real-time task dispatching and scheduling method, aiming to maximize the satisfaction rate of Service Level Objectives (SLOs) for tasks. First, we design a task dispatching algorithm named Adaptive Deep Reinforcement Learning (ADRL). This algorithm can quickly decide the execution position of tasks based on coarse information and effectively adapt to the changes in available servers in dynamic environments. Second, we propose a task scheduling algorithm named Warm-aware Shortest Remaining Idle Time (WSRIT), which guides the edge servers to schedule the tasks in the request queue based on the tasks’ remaining idle time and the state of the warm containers. Considering the limited storage space of the edge servers, we further introduce a container replacement algorithm named Low Priority First (LPF) to ensure smooth container launches. Extensive simulation experiments are conducted based on Azure datasets. The results show that our methodcan improve the satisfaction rate of SLOs by 12.57∼41.87% and achieve the lowest cold start rate compared to existing methods. © 2025</t>
  </si>
  <si>
    <t>Deep reinforcement learning; Edge computing; Real-time tasks; Serverless computing; Task scheduling</t>
  </si>
  <si>
    <t>Decision making; Deep learning; Edge computing; Reinforcement learning; Scheduling algorithms; Dynamic environments; Edge computing; Edge server; Real-time tasks; Reinforcement learnings; Satisfaction rates; Serverless computing; Service level objective; Task dispatching; Tasks scheduling; Deep reinforcement learning</t>
  </si>
  <si>
    <t>2-s2.0-105002305195</t>
  </si>
  <si>
    <t>Sensors</t>
  </si>
  <si>
    <t>Singh A.; Ranjan A.; Guru Prasad A.S.</t>
  </si>
  <si>
    <t>Singh, Akshay (59240332700); Ranjan, Alok (56500111600); Guru Prasad, A.S. (59908163600)</t>
  </si>
  <si>
    <t>59240332700; 56500111600; 59908163600</t>
  </si>
  <si>
    <t>Edge assisted heterogeneity aware vehicular selection using Federated Learning</t>
  </si>
  <si>
    <t>10.1016/j.adhoc.2025.103896</t>
  </si>
  <si>
    <t>Recently, artificial intelligence (AI) enabled solutions are getting popular to solve several challenges in Vehicular networks. Among several, AI based solutions are leveraged for road safety applications including driver behavior monitoring (DBM). Although traditional AI solutions have been adopted to build such solutions, user privacy remained a significant challenge. In addition, majorly the AI solution offerings are limited to centralized server computing. To address this, Federated Learning (FL) has been recently adopted in vehicular networks to train the model locally on the edge devices without revealing the private information and need for centralized server computing. However, its large-scale implementations are restricted due to practical considerations such as data heterogeneity &amp; quality of data which further results in inferior model performance. This paper presents a Federated Heterogeneity Aware Vehicle Selection (FedHAVS) approach which incorporates edge computing and serverless computing to optimize scalability and efficiency. Specifically, we leverage edge computing to decentralize model training at the vehicle level and enables distributed learning to improve decision making. The novelty of our work lies in the proposed algorithm used to measure the degree of heterogeneity across the clients which helps in segregating optimal and sub-optimal clients. Then a global model is obtained using the FL framework among optimal and sub-optimal set of clients which is tested on two different datasets namely SFDDD and RevItsOne. To evaluate the robustness of our method, we incorporated various state-of-the-art models. The experimental results demonstrate that FedHAVS achieves 99.24% &amp; 98.9% accuracy with Resnet18 on Independent and Identically Distributed (IID) settings for both SFDDD and RevItsOne datasets respectively. On Non-Independent and Identically Distributed (Non-IID) settings, FedHAVS achieved 98.84% on SFDDD and 97.66% on RevItsOne dataset with Densenet. Additionaly, compared to baselines, our proposed method reports least drop in accuracy when degree of heterogeneity increases ensuring better performance while the convergence time is minimum across both datasets. © 2025</t>
  </si>
  <si>
    <t>Data heterogeneity; Driver behavior monitoring; Federated learning; Intelligent Transportation System; Serverless computing; Vehicular networks</t>
  </si>
  <si>
    <t>Advanced driver assistance systems; Edge computing; Parking; Supervised learning; Traffic control; Behaviour monitoring; Centralized server; Data heterogeneity; Driver behavior monitoring; Driver's behavior; Edge computing; Intelligent transportation systems; Road safety; Serverless computing; Vehicular networks; Federated learning</t>
  </si>
  <si>
    <t>2-s2.0-105005754622</t>
  </si>
  <si>
    <t>Bilgaiyan S.; Aryan A.; Nayak N.K.; Mishra P.</t>
  </si>
  <si>
    <t>Bilgaiyan, Saurabh (56126787500); Aryan, Apurv (59125860400); Nayak, Nikhil Kumar (57719374200); Mishra, Priyanka (59929057600)</t>
  </si>
  <si>
    <t>56126787500; 59125860400; 57719374200; 59929057600</t>
  </si>
  <si>
    <t>Enhancing Reliability, Security, and Scalability of Serverless Computing for Cloud Backup in Power Grids During Emergency Situations</t>
  </si>
  <si>
    <t>SN Computer Science</t>
  </si>
  <si>
    <t>10.1007/s42979-025-03941-2</t>
  </si>
  <si>
    <t>The present study is to explore and experiment with the challenges and limitations of using serverless computing for cloud backup power and to propose solutions to improve its reliability, security, and scalability. Serverless computing offers several advantages for emergencies, including scalability, reliability, and cost-effectiveness. However, challenges that need to be addressed include cold boot delays, resource limitations, lack of infrastructure control, security concerns, monitoring and debugging issues, and vendor lock-in. To address these challenges, this research explores techniques to reduce cold boot delays, optimize resource allocation, implement effective security measures, ensure vendor independence, and improve monitoring and debugging capabilities. The findings and conclusions drawn from this study will provide valuable insight into ensuring platform suitability for emergencies, ultimately leading to more efficient and effective emergency response. This research begins by providing an overview of serverless computing and its benefits and limitations in emergencies. It then addresses the specific challenges that need to be addressed when using serverless computing to provide backup power to cloud-based power grids. These challenges are analyzed in detail, including their root causes and potential impact on emergency response. The findings guide emergency response organizations, cloud service providers, and other stakeholders to effectively use serverless computing as a backup power source for cloud-based power grids while addressing the specific challenges and limitations of emergencies. © The Author(s), under exclusive licence to Springer Nature Singapore Pte Ltd. 2025.</t>
  </si>
  <si>
    <t>Cloud computing; CPU utilization; PMU; Power grid; Serverless</t>
  </si>
  <si>
    <t>2-s2.0-105002767159</t>
  </si>
  <si>
    <t>Wang X.; Hui X.; Liao C.; Shen X.</t>
  </si>
  <si>
    <t>Wang, Xiangwei (59530958000); Hui, Xinning (57169771200); Liao, Chunhua (8671009000); Shen, Xipeng (7402721676)</t>
  </si>
  <si>
    <t>59530958000; 57169771200; 8671009000; 7402721676</t>
  </si>
  <si>
    <t>Input-centric program optimization aims to optimize code by considering the relations between program inputs and program behaviors. Despite its promise, a long-standing barrier for its adoption is the difficulty of automatically identifying critical features of complex inputs. This paper introduces a novel technique, reductive analysis through compiler-guided Large Language Models (LLMs), to solve the problem through a synergy between compilers and LLMs. It uses a reductive approach to overcome the scalability and other limitations of LLMs in program code analysis. The solution, for the first time, automates the identification of critical input features without heavy instrumentation or profiling, cutting the time needed for input identification by 44× (or 450× for local LLMs), reduced from 9.6 hours to 13 minutes (with remote LLMs) or 77 seconds (with local LLMs) on average, making input characterization possible to be integrated into the workflow of program compilations. Optimizations on those identified input features show similar or even better results than those identified by previous profiling-based methods, leading to optimizations that yield 92.6% accuracy in selecting the appropriate adaptive OpenMP parallelization decisions, and 20-30% performance improvement of serverless computing while reducing resource usage by 50-60%. © 2025 Owner/Author.</t>
  </si>
  <si>
    <t>Input-Centric Optimization; Large Language Models; Predictive Modeling; Program Optimization; Seminal Behavior Identification</t>
  </si>
  <si>
    <t>Application programming interfaces (API); Modeling languages; Optimal systems; Optimization; Program compilers; Behavior identifications; Code optimization; Input features; Input-centric optimization; Language model; Large language model; Optimisations; Predictive models; Program optimization; Seminal behavior identification; Codes (symbols)</t>
  </si>
  <si>
    <t>2-s2.0-105008278705</t>
  </si>
  <si>
    <t>Buccafurri F.; De Angelis V.; Lazzaro S.; Vangala A.</t>
  </si>
  <si>
    <t>Buccafurri, Francesco (6701671870); De Angelis, Vincenzo (57210863157); Lazzaro, Sara (57384676300); Vangala, Anusha (57201194546)</t>
  </si>
  <si>
    <t>6701671870; 57210863157; 57384676300; 57201194546</t>
  </si>
  <si>
    <t>MQTT-E: E2E encryption in MQTT via proxy re-encryption avoiding broker overloading</t>
  </si>
  <si>
    <t>10.1016/j.adhoc.2025.103878</t>
  </si>
  <si>
    <t>A smart traffic monitoring system in smart city surveillance requires publisher and subscriber MQTT-enabled vehicles to share sensitive vehicle and route data with semi-trusted RSU nodes as brokers. To ensure end-to-end confidentiality, we propose the use of an RSU broker as a proxy to perform re-encryption of the exchanged messages between publisher and subscriber vehicles. The RSU brokers are implemented as serverless edge devices with the proxy re-encryption functions designed as function-as-a-service. In peak traffic scenarios, the RSU proxy brokers can become overloaded and drop the re-encryption operations. Additionally, a malicious actor can send counterfeit re-encryption requests to overload the brokers leading to Denial-of-Service attacks. In this paper, we propose a novel solution to mitigate DoS attacks by balancing the re-encryption functions from overloaded brokers. This problem is modeled as an online optimization problem, solved using a greedy heuristic approach, and compared with a baseline approach. The objective function is to reallocate the minimum number of clients when brokers are overloaded since this operation brings additional overhead for clients. Our experimental analysis shows that the greedy approach manages to move up to 5 times fewer clients than the baseline approach, depending on the scenario considered. © 2025 The Authors</t>
  </si>
  <si>
    <t>Broker overloading; End-to-end confidentiality; MQTT; Proxy re-encryption; Smart traffic monitoring</t>
  </si>
  <si>
    <t>Broker overloading; Encryption function; End to end; End-to-end confidentiality; MQTT; Proxy re encryptions; Reencryptions; Smart traffic; Smart traffic monitoring; Traffic monitoring</t>
  </si>
  <si>
    <t>2-s2.0-105004560551</t>
  </si>
  <si>
    <t>Ali A.; Ma X.; Zawad S.; Aditya P.; Akkus I.E.; Chen R.; Yang L.; Yan F.</t>
  </si>
  <si>
    <t>Ali, Ahsan (57207417176); Ma, Xiaolong (57219238787); Zawad, Syed (57209608368); Aditya, Paarijaat (55960724400); Akkus, Istemi Ekin (15062297200); Chen, Ruichuan (23388102000); Yang, Lei (57155160200); Yan, Feng (50862222500)</t>
  </si>
  <si>
    <t>57207417176; 57219238787; 57209608368; 55960724400; 15062297200; 23388102000; 57155160200; 50862222500</t>
  </si>
  <si>
    <t>In today's production machine learning (ML) systems, models are continuously trained, improved, and deployed. ML design and training are becoming a continuous workflow of various tasks that have dynamic resource demands. Serverless computing is an emerging cloud paradigm that provides transparent resource management and scaling for users and has the potential to revolutionize the routine of ML design and training. However, hosting modern ML workflows on existing serverless platforms has non-trivial challenges due to their intrinsic design limitations such as stateless nature, limited communication support across function instances, and limited function execution duration. These limitations result in a lack of an overarching view and adaptation mechanism for training dynamics, and an amplification of existing problems in ML workflows. To address the above challenges, we propose SMLT, an automated, scalable and adaptive serverless framework on public cloud to enable efficient and user-centric ML design and training. SMLT employs an automated and adaptive scheduling mechanism to dynamically optimize the deployment and resource scaling for ML tasks during training. SMLT further enables user-centric ML workflow execution by supporting user-specified training deadline and budget limit. In addition, by providing an end-to-end design, SMLT solves the intrinsic problems in public cloud serverless platforms such as the communication overhead, limited function execution duration, need for repeated initialization, and also provides explicit fault tolerance for ML training. SMLT is open-sourced and compatible with all major ML frameworks. Our experimental evaluation with large, sophisticated modern ML models demonstrates that SMLT outperforms the state-of-the-art VM-based systems and existing public cloud serverless ML training frameworks in both training speed (up to 8×) and monetary cost (up to 3×). © 2024</t>
  </si>
  <si>
    <t>Machine learning; Resource management; Serverless computing</t>
  </si>
  <si>
    <t>Budget control; Resource allocation; Learning designs; Machine-learning; Modern machines; Public clouds; Resource management; Scalable machine learning; Scalings; Serverless computing; User-centric; Work-flows; Cloud platforms</t>
  </si>
  <si>
    <t>2-s2.0-85209546502</t>
  </si>
  <si>
    <t>Wen J.; Chen Z.; Sarro F.; Wang S.</t>
  </si>
  <si>
    <t>Wen, Jinfeng (57221635089); Chen, Zhenpeng (57209222899); Sarro, Federica (36631133800); Wang, Shangguang (36185971000)</t>
  </si>
  <si>
    <t>57221635089; 57209222899; 36631133800; 36185971000</t>
  </si>
  <si>
    <t>Unveiling overlooked performance variance in serverless computing</t>
  </si>
  <si>
    <t>Empirical Software Engineering</t>
  </si>
  <si>
    <t>10.1007/s10664-025-10615-3</t>
  </si>
  <si>
    <t>Serverless computing is an emerging cloud computing paradigm for developing applications at the function level, known as serverless functions. Due to the highly dynamic execution environment, multiple identical runs of the same serverless function can yield different performance, specifically in terms of end-to-end response latency. However, surprisingly, our analysis of serverless computing-related papers published in top-tier conferences highlights that the research community lacks awareness of the performance variance problem, with only 38.38% of these papers employing multiple runs for quantifying it. To further investigate, we analyze the performance of 72 serverless functions collected from these papers. Our findings reveal that the performance of these serverless functions can differ by up to 338.76% (44.28% on average) across different runs. Moreover, 61.11% of these functions produce unreliable performance results, with a low number of repetitions commonly employed in the serverless computing literature. Our study highlights a lack of awareness in the serverless computing community regarding the well-known performance variance problem in software engineering. The empirical results illustrate the substantial magnitude of this variance, emphasizing that ignoring the variance can affect research reproducibility and result reliability. © The Author(s), under exclusive licence to Springer Science+Business Media, LLC, part of Springer Nature 2025.</t>
  </si>
  <si>
    <t>Cloud computing; Empirical study; Performance variance; Serverless computing</t>
  </si>
  <si>
    <t>Cloud-computing; Computing paradigm; Dynamic execution; Empirical studies; End to end; Execution environments; Functions level; Performance; Performance variance; Serverless computing</t>
  </si>
  <si>
    <t>2-s2.0-85217760080</t>
  </si>
  <si>
    <t>Sala R.; Guindani B.; Galimberti E.; Filippini F.; Sedghani H.; Ardagna D.; Risco S.; Moltó G.; Caballer M.</t>
  </si>
  <si>
    <t>Sala, Roberto (59001878900); Guindani, Bruno (57712327500); Galimberti, Enrico (58241772100); Filippini, Federica (57222342275); Sedghani, Hamta (57232110300); Ardagna, Danilo (6508040906); Risco, Sebastián (57211030526); Moltó, Germán (8953108200); Caballer, Miguel (22733776500)</t>
  </si>
  <si>
    <t>59001878900; 57712327500; 58241772100; 57222342275; 57232110300; 6508040906; 57211030526; 8953108200; 22733776500</t>
  </si>
  <si>
    <t>This paper proposes an automated framework for efficient application profiling and training of Machine Learning (ML) performance models, composed of two parts: OSCAR-P and aMLLibrary. OSCAR-P is an auto-profiling tool designed to automatically test serverless application workflows running on multiple hardware and node combinations in cloud and edge environments. OSCAR-P obtains relevant profiling information on the execution time of the individual application components. These data are later used by aMLLibrary to train ML-based performance models. This makes it possible to predict the performance of applications on unseen configurations. We test our framework on clusters with different architectures (x86 and arm64) and workloads, considering multi-component use-case applications. This extensive experimental campaign proves the efficiency of OSCAR-P and aMLLibrary, significantly reducing the time needed for the application profiling, data collection, and data processing. The preliminary results obtained on the ML performance models accuracy show a Mean Absolute Percentage Error lower than 30% in all the considered scenarios. © 2024 The Authors</t>
  </si>
  <si>
    <t>Computing continuum; Edge computing; Machine learning; Performance profiling</t>
  </si>
  <si>
    <t>Data handling; Application profiling; Automatically test; Computing continuum; Edge computing; Learning performance; Machine-learning; Performance; Performance Modeling; Performance profiling; Profiling tools; Edge computing</t>
  </si>
  <si>
    <t>2-s2.0-85209755802</t>
  </si>
  <si>
    <t>Saravana Kumar N.; Selvakumara Samy S.</t>
  </si>
  <si>
    <t>Saravana Kumar, N. (58248184600); Selvakumara Samy, S. (57192705534)</t>
  </si>
  <si>
    <t>58248184600; 57192705534</t>
  </si>
  <si>
    <t>Cold Start Prediction and Provisioning Optimization in Serverless Computing Using Deep Learning</t>
  </si>
  <si>
    <t>10.1002/cpe.8392</t>
  </si>
  <si>
    <t>Serverless computing has emerged as a significant framework for application development, offering benefits such as simplified deployment and enhanced developer productivity. Serverless designs accelerate app development, but user experience and performance are put at risk through the delay during a cold start. In this paper, an optimized concurrent provisioning methodology for the AWS Lambda environment has been proposed along with a cold start prediction technique based on deep learning. Employing historical data and real-time features like timestamp, invoke frequency, cold start indicator, duration, previous cold starts, event type, historical cold starts, time since the last cold start, and consecutive cold starts, an attention-based bi-directional gated recurrent unit (ABiGRU) is used to predict the cold start occurrences with high precision. In the AWS Lambda environment, the proposed DL model was able to predict the cold start likelihood for incoming Lambda invocations very accurately. In addition, the performance of the ABiGRU model is enhanced by hyperparameter tuning using the RMSProp optimizer. The findings of the experiments establish the proposed DL model to perform in the reduction of cold starts compared to the existing approach. Further, the ODL-CSP technique achieves an accuracy of 90.36%, a precision of 91.87%, a recall of 90.42%, an F1_score of 90.28%, and an MCC of 82.28% when applied to the testing dataset. Additionally, the proposed paradigm optimizes Lambdas using provisioned concurrency, similar to a function warmer. The proposed DL paradigm will eliminate cold start times by early deployment of Lambdas so that the ice age of the serverless architecture is eliminated. © 2025 John Wiley &amp; Sons Ltd.</t>
  </si>
  <si>
    <t>AWS lambdas; cold starts; deep learning; function warmer; serverless computing</t>
  </si>
  <si>
    <t>Application development; AWS lambda; Bi-directional; Cold-start; Deep learning; Function warm; Lambda's; Optimisations; Serverless computing; Users' experiences</t>
  </si>
  <si>
    <t>2-s2.0-86000015094</t>
  </si>
  <si>
    <t>Alkhatib A.; Shaheen A.; Albustanji R.N.</t>
  </si>
  <si>
    <t>Alkhatib, Ahmad (56074090200); Shaheen, Ameen (57202360702); Albustanji, Rand N. (58408774300)</t>
  </si>
  <si>
    <t>56074090200; 57202360702; 58408774300</t>
  </si>
  <si>
    <t>A Comparative Analysis of Cloud Computing Services: AWS, Azure, and GCP</t>
  </si>
  <si>
    <t>International Journal of Computing and Digital Systems</t>
  </si>
  <si>
    <t>10.12785/ijcds/1571111846</t>
  </si>
  <si>
    <t>This paper comprehensively analyzes three leading cloud computing platforms: Amazon Web Services (AWS), Microsoft Azure, and Google Cloud Platform (GCP). The paper conducts an in-depth exploration and comparison of the virtual machines supplied by each platform by applying five different benchmarks, including latency, framework, RAM, GPU, and CPU (single and multi-core). Additionally, it reviews features, services, and key pricing models, providing valuable insights for organizations seeking to choose the most suitable cloud provider for their specific needs. The analysis covers various dimensions, such as regions, availability zones, computing, storage, database, networking, security, machine learning, IoT, serverless computing, containers, big data, analytics, application development, content delivery networks (CDNs), hybrid/multi-cloud support, and more. By evaluating the strengths and weaknesses of the three leading platforms, this research focuse on a detailed technichal guide to aid decision-making processes in selecting the right cloud platform. The findings highlight the unique offerings of each platform, enabling organizations to leverage cloud technologies effectively. In conclusion, this review serves as a valuable resource for companies and IT professionals navigating the complex cloud platforms, by shedding light on the nuances of AWS, Azure, and Google Cloud. © 2025 University of Bahrain. All rights reserved.</t>
  </si>
  <si>
    <t>Amazon Web Service; Cloud Computing; Google Cloud Platform; Microsoft Azure; Virtual Servers</t>
  </si>
  <si>
    <t>2-s2.0-105004772452</t>
  </si>
  <si>
    <t>Journal of Network and Systems Management</t>
  </si>
  <si>
    <t>Emami Khansari M.; Sharifian S.</t>
  </si>
  <si>
    <t>Emami Khansari, Mina (57202423803); Sharifian, Saeed (24179033900)</t>
  </si>
  <si>
    <t>57202423803; 24179033900</t>
  </si>
  <si>
    <t>Serverless computing has emerged as a new cloud computing model which in contrast to IoT offers unlimited and scalable access to resources. This paradigm improves resource utilization, cost, scalability and resource management specifically in terms of irregular incoming traffic. While cloud computing has been known as a reliable computing and storage solution to host IoT applications, it is not suitable for bandwidth limited, real time and secure applications. Therefore, shifting the resources of the cloud-edge continuum towards the edge can mitigate these limitations. In serverless architecture, applications implemented as Function as a Service (FaaS), include a set of chained event-driven microservices which have to be assigned to available instances. IoT microservices orchestration is still a challenging issue in serverless computing architecture due to IoT dynamic, heterogeneous and large-scale environment with limited resources. The integration of FaaS and distributed Deep Reinforcement Learning (DRL) can transform serverless computing by improving microservice execution effectiveness and optimizing real-time application orchestration. This combination improves scalability and adaptability across the edge-cloud continuum. In this paper, we present a novel Deep Reinforcement Learning (DRL) based microservice orchestration approach for the serverless edge-cloud continuum to minimize resource utilization and delay. This approach, unlike existing methods, is distributed and requires a minimum subset of realistic data in each interval to find optimal compositions in the proposed edge serverless architecture and is thus suitable for IoT environment. Experiments conducted using a number of real-world scenarios demonstrate improvement of the number of successfully composed applications by 18%, respectively, compared to state-of-the art methods including Load Balance, Shortest Path algorithms. © 2024 Elsevier Ltd</t>
  </si>
  <si>
    <t>Distributed microservice composition; Edge computing; Function as a service; IoT; Modified deep reinforcement learning; Serverless computing</t>
  </si>
  <si>
    <t>Cloud computing architecture; Cloud platforms; Cloud-computing; Distributed microservice composition; Edge computing; Function as a service; IoT; Modified deep reinforcement learning; Reinforcement learnings; Resources utilizations; Serverless architecture; Serverless computing; Deep reinforcement learning</t>
  </si>
  <si>
    <t>2-s2.0-85206469599</t>
  </si>
  <si>
    <t>Ghosh A.; Dalui A.; Barik L.; Saini J.R.; Sharma S.K.; Dash B.B.; Singh S.; Dash N.; Patra S.; Patra S.S.</t>
  </si>
  <si>
    <t>Ghosh, Akash (58817568700); Dalui, Abhraneel (59125690300); Barik, Lalbihari (55967668000); Saini, Jatinderkumar R. (55535054500); Sharma, Sunil Kumar (57208015586); Dash, Bibhuti Bhusan (57645650600); Singh, Satyendr (55270664200); Dash, Namita (59941340400); Patra, Susmita (59942231900); Patra, Sudhansu Shekhar (56926181800)</t>
  </si>
  <si>
    <t>58817568700; 59125690300; 55967668000; 55535054500; 57208015586; 57645650600; 55270664200; 59941340400; 59942231900; 56926181800</t>
  </si>
  <si>
    <t>Blockchain-Assisted Serverless Framework for AI-Driven Healthcare Applications</t>
  </si>
  <si>
    <t>International Journal of Advanced Computer Science and Applications</t>
  </si>
  <si>
    <t>10.14569/IJACSA.2025.0160546</t>
  </si>
  <si>
    <t>With the advent of new sensor device designs, IoT based medical applications are increasingly being employed. This study introduces BlockFaaS: a Blockchain-assisted serverless framework that incorporates advanced AI models in latency sensitive healthcare applications with confidentiality, energy efficiency, and real-time decision-making. This framework combines the structure of AIBLOCK with dynamic sharding and zero knowledge proofs to make the framework strongly scalable with health-assured data inviolability with HealthFaaS, a serverless platform for cardiovascular risk detection. Explainable AI and federated learning models are introduced into the system to retain an equilibrium between data privacy and interpretability. All layers of communication use the Transport Layer Security protocol to ensure security. This proposed system is validated by new performance metrics such as real-time response rates and energy consumption, proving to be superior to the existing HealthFaaS and AIBLOCK technologies. © (2025), (Science and Information Organization). All rights reserved.</t>
  </si>
  <si>
    <t>AIBLOCK; blockchain; healthfaas; latency optimization; serverless computing; Transport Layer Security (TLS)</t>
  </si>
  <si>
    <t>Artificial intelligence; Data privacy; Decision making; Energy utilization; Green computing; Health care; Health risks; Learning systems; Medical applications; Medical computing; AIBLOCK; Block-chain; Device design; Health care application; Healthfaas; Latency optimizations; Sensor device; Serverless computing; Transport layer security; Blockchain</t>
  </si>
  <si>
    <t>2-s2.0-105007878615</t>
  </si>
  <si>
    <t>Future Internet</t>
  </si>
  <si>
    <t>Huang X.; Gu R.; Huang Y.</t>
  </si>
  <si>
    <t>Huang, Xu (58179240700); Gu, Rong (36997784300); Huang, Yihua (7501574686)</t>
  </si>
  <si>
    <t>58179240700; 36997784300; 7501574686</t>
  </si>
  <si>
    <t>Towards Efficient Serverless MapReduce Computing on Cloud-Native Platforms</t>
  </si>
  <si>
    <t>Big Data Mining and Analytics</t>
  </si>
  <si>
    <t>10.26599/BDMA.2024.9020084</t>
  </si>
  <si>
    <t>MapReduce is one of the most classic and powerful parallel computing models in the field of big data. It is still active in the big data system ecosystem and is currently evolving towards cloud-native environment. Among them, due to its elasticity and ease-to-use, Serverless computing is one of the most promising directions of cloud-native technology. To support MapReduce big data computing capabilities in a Serverless environment can give full play to Serverless's advantages. However, due to different underlying system architecture, three issues will be encountered when running MapReduce jobs in the Serverless environment. Firstly, the scheduling strategy is difficult to fully utilize the available resources. Secondly, reading Shuffle index data on cloud storage is inefficient and expensive. Thirdly, cloud storage Input/Output (I/O) request latency has a long tail effect. To solve these problems, this paper proposes three strategies with a MapReduce parallel processing framework in Serverless environment. Experimental results show that compared with cutting-edge systems, our approach shortens job execution time by 25.6% on average and reduces job execution costs by 17.3%. © 2018 Tsinghua University Press.</t>
  </si>
  <si>
    <t>big data; cloud-native Serverless; MapReduce Shuffle</t>
  </si>
  <si>
    <t>Cloud platforms; Cloud storages; Cloud-native serverless; Computing capability; Data systems; Job execution; Map-reduce; Mapreduce shuffle; Native environment; Parallel computing models; Underlying systems; MapReduce</t>
  </si>
  <si>
    <t>2-s2.0-105003242534</t>
  </si>
  <si>
    <t>El Moudni M.; Ziyati E.</t>
  </si>
  <si>
    <t>El Moudni, Mohammed (58759212700); Ziyati, Elhoussaine (55496568900)</t>
  </si>
  <si>
    <t>58759212700; 55496568900</t>
  </si>
  <si>
    <t>A Hybrid Approach to Enhancing Personal Sensitive Information Protection in the Context of Cloud Storage</t>
  </si>
  <si>
    <t>10.12785/ijcds/1571016609</t>
  </si>
  <si>
    <t>The growing use of cloud computing and increasing popularity of digital technologies have made it essential to store and process personal data in cloud environments. As organizations and individuals continue to adopt cloud services, the security of sensitive personal information in this dynamic environment has become a top priority. Ensuring the confidentiality, integrity, and availability of personal data in the cloud is critical for mitigating the risks associated with cyber threats. This study examines security issues related to personal information in cloud systems and proposes a new approach that leverages machine learning (ML) classification and data tokenization techniques using serverless and secret vault services provided by cloud service providers (CSPs). Supervised learning algorithms, including Long Short-Term Memory (LSTM), Convolutional Neural Networks (CNN), and Multilayer Perceptron (MLP), are used for data label prediction. Notably, we found that the CNN achieved a remarkable 100% accuracy on a large dataset, ensuring perfect classification with double validation using pattern matching. In addition, natural language processing (NLP) techniques are employed to clean and prepare data content, whereas data tokenization is used to ensure data confidentiality and integrity. Furthermore, an analysis of both model overhead and cloud performance revealed that our model is scalable, and data handling using our approach has no major significant impact on time costs. This study also provides an overview of cloud computing, its service models, and the main security threats inherent in the cloud infrastructure. The experimental design and results based on specific datasets validate the effectiveness of the proposed hybrid approach in enhancing the protection of sensitive personal information in cloud storage. © 2025 University of Bahrain. All rights reserved.</t>
  </si>
  <si>
    <t>Cloud Storage; Data Privacy; Data Security; Machine Learning; Personally Identifiable Information</t>
  </si>
  <si>
    <t>2-s2.0-85217637918</t>
  </si>
  <si>
    <t>Khan A.N.; Khan Q.W.; Rizwan A.; Ahmad R.; Kim D.H.</t>
  </si>
  <si>
    <t>Khan, Anam Nawaz (57222424770); Khan, Qazi Waqas (58337174600); Rizwan, Atif (57224192910); Ahmad, Rashid (58279952900); Kim, Do Hyeun (44361167000)</t>
  </si>
  <si>
    <t>57222424770; 58337174600; 57224192910; 58279952900; 44361167000</t>
  </si>
  <si>
    <t>Consensus-Driven Hyperparameter Optimization for Accelerated Model Convergence in Decentralized Federated Learning</t>
  </si>
  <si>
    <t>10.1016/j.iot.2024.101476</t>
  </si>
  <si>
    <t>Decentralized Federated Learning (DFL) enables collaborative model training across multiple devices without relying on a central server, preserving data privacy and achieving full decentralization. However, optimizing hyperparameters (HPs) in DFL presents significant challenges due to system and statistical heterogeneity and the lack of centralized coordination. Existing Hyperparameter Optimization (HPO) methods for Federated Learning (FL) typically rely on a central server, making them unsuitable for fully decentralized environments. These methods face scalability issues, high communication and computation overhead, and limited adaptability to node-specific requirements. The need for serverless, fully decentralized HPO is particularly critical in scenarios demanding minimal communication and efficient resource usage. To address these challenges, we propose the single-pass Decentralized Federated Hyperparameter Optimization framework (DFed-HPO), which integrates three advanced HPO strategies for computation and communication-efficient HP optimization. DFed-HPO includes three hyperparameter aggregation mechanisms: MetaRegress Aggregator (MA), Consensus Aggregator (CA), and Fusion Aggregator (FA). MA uses meta-learning principles to predict the performance of new configurations with minimal communication, while CA and FA enhance optimization and aggregation based on model similarity and consensus-building among nodes. By conducting HPO in a single pass, DFed-HPO reduces communication overhead while achieving robust hyperparameter consensus. We validated DFed-HPO on MNIST and the Electricity dataset, demonstrating its potential in energy management applications, including green hydrogen production using renewable energy systems. Results show that DFed-HPO improves model performance, accelerates convergence, and adapts to non-IID data, offering a scalable and efficient solution for decentralized AI networks in resource-constrained settings. © 2025 The Authors</t>
  </si>
  <si>
    <t>Artificial intelligence; Decentralized learning optimization; Decentralized machine learning; Model hyperparameters; Model optimization</t>
  </si>
  <si>
    <t>2-s2.0-85213885489</t>
  </si>
  <si>
    <t>Expert Systems with Applications</t>
  </si>
  <si>
    <t>Hu Q.; Li H.; Nikougoftar E.</t>
  </si>
  <si>
    <t>Hu, Qingmiao (59472837900); Li, Hongwei (59473010800); Nikougoftar, Elaheh (57366018500)</t>
  </si>
  <si>
    <t>59472837900; 59473010800; 57366018500</t>
  </si>
  <si>
    <t>Mitigating cold start problem in serverless computing using predictive pre-warming with machine learning</t>
  </si>
  <si>
    <t>10.1007/s00607-024-01382-y</t>
  </si>
  <si>
    <t>The cold start problem in serverless computing leads to increased latency when functions are invoked after being idle. This paper proposes a predictive pre-warming strategy that leverages machine learning and historical data analysis to mitigate the cold start problem. By using a Recurrent Neural Network (RNN) to predict future invocations and a pre-warming scheduler to determine the number of instances to pre-warm, our approach aims to optimize resource utilization and reduce latency. Results show that the proposed method adapts idle-container times efficiently, reducing cold starts and idle periods. The proposed method outperforms OpenWhisk by executing more invocations, demonstrating a 49.52% improvement and enhancing container resource allocation optimization. © The Author(s), under exclusive licence to Springer-Verlag GmbH Austria, part of Springer Nature 2024.</t>
  </si>
  <si>
    <t>Cold start; Machine learning; Predictive pre-warming; Recurrent neural network; Serverless computing</t>
  </si>
  <si>
    <t>Recurrent neural networks; Resource allocation; Cold start problems; Cold-start; Historical data; Idle periods; Learning data; Machine-learning; Neural-networks; Predictive pre-warming; Resources utilizations; Serverless computing; Adversarial machine learning</t>
  </si>
  <si>
    <t>2-s2.0-85212092543</t>
  </si>
  <si>
    <t>Applied Sciences (Switzerland)</t>
  </si>
  <si>
    <t>Calavaro C.; Cardellini V.; Lo Presti F.; Russo Russo G.</t>
  </si>
  <si>
    <t>Calavaro, Cecilia (57832150000); Cardellini, Valeria (6603463586); Lo Presti, Francesco (6701823377); Russo Russo, Gabriele (57211560923)</t>
  </si>
  <si>
    <t>57832150000; 6603463586; 6701823377; 57211560923</t>
  </si>
  <si>
    <t>Beyond Cloud: Serverless Functions in the Compute Continuum</t>
  </si>
  <si>
    <t>10.1007/s42979-025-03699-7</t>
  </si>
  <si>
    <t>Serverless computing and, in particular, the Function-as-a-Service (FaaS) paradigm are increasingly popular, promising seamless scalability, simplified operations and flexible pricing. As more and more applications aim to benefit from near-user computation, there is increasing interest in deploying and running FaaS systems in the emerging edge-to-cloud compute continuum of computational resources. However, this new environment forces FaaS systems, originally developed with cloud in mind, to deal with limited resource availability, high hardware heterogeneity, and geographical distributions. In this paper, we discuss the key challenges for deployment and execution of serverless functions in the compute continuum, reviewing recent research contributions on the topic. We also discuss the key issues that remain unsolved and highlight a research opportunities to make FaaS adoption easier and more efficient far from cloud data centers. © The Author(s) 2025.</t>
  </si>
  <si>
    <t>Cloud computing; Edge computing; Function-as-a-service; Serverless computing</t>
  </si>
  <si>
    <t>2-s2.0-86000025511</t>
  </si>
  <si>
    <t>Salcedo-Navarro A.; Peña-Ortiz R.; Claver J.M.; Garcia-Pineda M.; Gutiérrez-Aguado J.</t>
  </si>
  <si>
    <t>Salcedo-Navarro, Andoni (59195761200); Peña-Ortiz, Raúl (14631026800); Claver, Jose M. (6602431723); Garcia-Pineda, Miguel (36619521000); Gutiérrez-Aguado, Juan (56491384400)</t>
  </si>
  <si>
    <t>59195761200; 14631026800; 6602431723; 36619521000; 56491384400</t>
  </si>
  <si>
    <t>Towards GPU-enabled serverless cloud edge platforms for accelerating HEVC video coding</t>
  </si>
  <si>
    <t>10.1007/s10586-024-04692-0</t>
  </si>
  <si>
    <t>Multimedia streaming has become integral to modern living, reshaping entertainment consumption, information access, and global engagement. The ascent of cloud computing, particularly serverless architectures, plays a pivotal role in this transformation, offering dynamic resource allocation, parallel execution, and automatic scaling-especially beneficial in HTTP Adaptive Streaming (HAS) applications. This study presents an event-driven serverless cloud edge platform with graphics processing units (GPUs), managed by Knative, tailored for video encoding. Two implementations of the High Efficiency Video Coding (HEVC) codec have been encapsulated in the functions: HEVC NVENC (Nvidia Encoder), that uses GPU acceleration, and x265 that only uses CPUs. Experiments focused on measuring the impact of replica requested resources on cold start, scalability and resource consumption with different allocated resources on slim and fat virtual machines (VMs). The best results are obtained when four slim replicas of the functions are deployed on a fat VM with a 8.4% reduction in encoding time for x265 and a 15.2% improvement for HEVC NVENC compared with other deployment scenarios. Comparatively, HEVC NVENC encoding is 8.3 times faster than x265. In multiresolution scenarios, GPU encoding drastically reduces segment encoding time by a factor of 12.4 between non-GPU and GPU-accelerated. These findings are important for live streaming applications where low latency is critical at all stages of the streaming process. © The Author(s) 2024.</t>
  </si>
  <si>
    <t>Cloud edge; FaaS; GPU; HEVC; NVENC; Serverless; Video encoding</t>
  </si>
  <si>
    <t>Cloud platforms; Computer graphics; Computer graphics equipment; Edge computing; Parallel architectures; Resource allocation; Scalable video coding; Video streaming; Cloud edge; Encoding time; Faas; Graphics processing; High-efficiency video coding; Nvidia encoder; Processing units; Serverless; Streaming applications; Video encodings; Graphics processing unit</t>
  </si>
  <si>
    <t>2-s2.0-85208731947</t>
  </si>
  <si>
    <t>IAENG International Journal of Computer Science</t>
  </si>
  <si>
    <t>Gutiérrez Beltrán E.J.; Martínez Arias J.C.</t>
  </si>
  <si>
    <t>Gutiérrez Beltrán, Erika J. (57208556364); Martínez Arias, Juan C. (57188852261)</t>
  </si>
  <si>
    <t>57208556364; 57188852261</t>
  </si>
  <si>
    <t>Mi Superpoder es la Programación is a web tool designed to teach programming to children and young people. It focuses on developing logical thinking through interactive exercises that cover computer parts recognition, sequences, patterns, and flowcharts. The tool was developed to address the educational needs identified in the social project of the same name, where modern technologies and a serverless-based architecture were used to create an accessible and effective solution for teaching programming. Initial results indicate that students found the tool useful and demonstrated improvements in their understanding of computational logic. This analysis is framed within the global challenge of teaching programming to children and youth, demonstrating the potential of gamified tools across diverse educational contexts. Future plans include expanding the tool to incorporate more modules, allowing customization by teachers, and conducting broader evaluations in different educational environments. © 2024 The Author(s)</t>
  </si>
  <si>
    <t>Digital educational tools; Game-based learning; Programming for children; Software engineering; STEAM education</t>
  </si>
  <si>
    <t>Educational technology; Engineering education; Logic programming; Teaching; Digital educational tool; Educational tools; Game-based Learning; It focus; Logical thinking; Programming for child; STEAM education; Teaching programming; Web tools; Young peoples; Steam engineering</t>
  </si>
  <si>
    <t>2-s2.0-85202816298</t>
  </si>
  <si>
    <t>Zahed A.; Ghobaei-Arani M.; Esmaeili L.</t>
  </si>
  <si>
    <t>Zahed, Atiya (59669679300); Ghobaei-Arani, Mostafa (57189577393); Esmaeili, Leila (52163349900)</t>
  </si>
  <si>
    <t>59669679300; 57189577393; 52163349900</t>
  </si>
  <si>
    <t>An efficient function placement approach in serverless edge computing</t>
  </si>
  <si>
    <t>10.1007/s00607-025-01438-7</t>
  </si>
  <si>
    <t>Serverless computing has gained significant attention due to its promise of simplifying application development and deployment. Application providers in this computing model must implement their applications using primarily stateless functions, and they do not need complex infrastructure management. Due to the ever-increasing expansion of IoT devices and real-time services, serverless computing has become popular at the edge. IoT devices use many applications in serverless edge computing. In serverless edge computing, we face requests with different requirements and workloads for executing functions that must be placed and executed on heterogeneous edge devices in such a way that they meet the user’s requirements and the quality of service. This problem is known as dynamic function placement in serverless edge computing, and it is one of the critical challenges in this computing. In this paper, we introduce an autonomous dynamic function placement approach using the autonomic computing model and the deep reinforcement learning technique to make decisions about dynamic deploying functions in heterogeneous and dynamic edge infrastructure. An autonomous function placement framework is also designed based on the three-layer architecture of the public edge environment. When comparing the proposed solution with the other methods, simulation results indicate that the proposed solution reduces average Cost by 27.6% and delays by 28.8% while increasing edge node utilization by 18.6%. © The Author(s), under exclusive licence to Springer-Verlag GmbH Austria, part of Springer Nature 2025.</t>
  </si>
  <si>
    <t>Autonomic computing; Deep reinforcement learning; Function placement; Serverless edge computing</t>
  </si>
  <si>
    <t>Deep learning; Deep reinforcement learning; Mobile edge computing; Reinforcement learning; Application deployment; Application development; Application providers; Autonomic Computing; Computing model; Dynamic functions; Edge computing; Function placement; Reinforcement learnings; Serverless edge computing; Quality of service</t>
  </si>
  <si>
    <t>2-s2.0-86000021774</t>
  </si>
  <si>
    <t>Hanaforoosh M.; Azgomi M.A.; Ashtiani M.</t>
  </si>
  <si>
    <t>Hanaforoosh, Mahrad (57226826827); Azgomi, Mohammad Abdollahi (57965032300); Ashtiani, Mehrdad (56115838300)</t>
  </si>
  <si>
    <t>57226826827; 57965032300; 56115838300</t>
  </si>
  <si>
    <t>In serverless computing, cold starts significantly impede performance. This paper presents a granularity tree-based scheduling strategy, dynamically adjusting serverless function deployment by package dependencies to mitigate cold starts and optimize resource usage. This approach notably reduces cold start and response times. Empirical results from evaluating functions across various datasets show the strategy outperforms existing methods. Specifically, it consistently delivers lower response times and decreases resource consumption, demonstrating its effectiveness in managing computational resources while ensuring swift function invocation. In particular scenarios, the proposed scheduler impressively reduced response times from 8134.1 ms to 392.8 ms and idle memory usage from 15.2 GB to 11.2 GB per machine. In other scenarios, it reduced response times from 12,152.7 ms to 504.2 ms while maintaining a 100% function execution percentage. These quantified improvements underscore the significant enhancements in cold start mitigation and overall system performance, highlighting the potential of granularity tree-based scheduling in enhancing serverless computing architectures by effectively balancing rapid response with reduced resource usage. © 2024 Elsevier B.V.</t>
  </si>
  <si>
    <t>Container cold start; Function granularity tree; Function-as-a-service (FAAS); Resource utilization; Scheduling; Serverless computing</t>
  </si>
  <si>
    <t>Response time (computer systems); Cold-start; Container cold start; Function granularity tree; Function-as-a-service; Performance; Resource usage; Resources utilizations; Scheduling strategies; Serverless computing; Tree-based</t>
  </si>
  <si>
    <t>2-s2.0-85208410793</t>
  </si>
  <si>
    <t>Hui X.; Xu Y.; Shen X.</t>
  </si>
  <si>
    <t>Hui, Xinning (57169771200); Xu, Yuanchao (54394647300); Shen, Xipeng (59743049800)</t>
  </si>
  <si>
    <t>57169771200; 54394647300; 59743049800</t>
  </si>
  <si>
    <t>Recent years have witnessed increasing interest in machine learning (ML) inferences on serverless computing due to its auto-scaling and cost-effective properties. However, one critical aspect, function granularity, has been largely overlooked, limiting the potential of serverless ML. This paper explores the impact of function granularity on serverless ML, revealing its important effects on the SLO hit rates and resource costs of serverless applications. It further proposes adaptive granularity as an approach to addressing the phenomenon that no single granularity fits all applications and situations. It explores three predictive models and presents programming tools and runtime extensions to facilitate the integration of adaptive granularity into existing serverless platforms. Experiments show adaptive granularity produces up to a 29.2% improvement in SLO hit rates and up to a 24.6% reduction in resource costs over the state-of-the-art serverless ML which uses fixed granularity.  © 2025 ACM.</t>
  </si>
  <si>
    <t>cloud computing; deep learning; function granularity; function-as-a-service; machine learning for systems; quality of service; serverless computing</t>
  </si>
  <si>
    <t>Cloud platforms; Deep learning; Federated learning; Cloud-computing; Deep learning; Function granularity; Function-as-a-service; Hit rate; Machine learning for system; Machine-learning; Quality-of-service; Resource costs; Serverless computing</t>
  </si>
  <si>
    <t>2-s2.0-105003168483</t>
  </si>
  <si>
    <t>Singh A.K.; Kumar S.; Jain S.</t>
  </si>
  <si>
    <t>Singh, Ashutosh Kumar (57212846086); Kumar, Satender (59438791800); Jain, Sarika (57203018058)</t>
  </si>
  <si>
    <t>57212846086; 59438791800; 57203018058</t>
  </si>
  <si>
    <t>A multi-agent deep reinforcement learning approach for optimal resource management in serverless computing</t>
  </si>
  <si>
    <t>10.1007/s10586-024-04820-w</t>
  </si>
  <si>
    <t>The flexibility of serverless resources enables cloud service providers to scale up dynamically and down the resource requirements over time. However, the varying incoming workload and prefixed capacity of worker nodes can lead to resource under-utilization. To tackle this issue and to improve the performance of data centers, a Multi-Agent deep reinforcement learning-based Resource Management model (MARM) is presented, that reduces the overhead of resource under-utilization. It utilizes the resources efficiently by choosing the best worker node for the incoming workload resource requirements. It allows multiple agents to operate cooperatively while sharing communication. The proposed model keeps track of minimal resources requested by incoming function instances and schedules it to the most suited worker node to encourage efficient resource utilization. Extensive experiments are conducted using the proposed model in a simulated environment using a synthetic dataset and scaled-down Alibaba Cluster Trace. The experimental results show the efficacy of the proposed model in terms of improved CPU and memory utilization up to 39 and 30% over state-of-the-art schedulers, respectively. © The Author(s), under exclusive licence to Springer Science+Business Media, LLC, part of Springer Nature 2024.</t>
  </si>
  <si>
    <t>Function instance; Function scheduling; Multi-agent; Resource management; Serverless computing</t>
  </si>
  <si>
    <t>Deep learning; Reinforcement learning; Resource allocation; Cloud service providers; Function instance; Function scheduling; Multi agent; Optimal resource management; Reinforcement learning approach; Resource management; Resource requirements; Serverless computing; Worker nodes; Deep reinforcement learning</t>
  </si>
  <si>
    <t>2-s2.0-85210372254</t>
  </si>
  <si>
    <t>Aslani A.; Ghobaei-Arani M.</t>
  </si>
  <si>
    <t>Aslani, Akram (59508297500); Ghobaei-Arani, Mostafa (57189577393)</t>
  </si>
  <si>
    <t>59508297500; 57189577393</t>
  </si>
  <si>
    <t>Machine learning inference serving models in serverless computing: a survey</t>
  </si>
  <si>
    <t>10.1007/s00607-024-01377-9</t>
  </si>
  <si>
    <t>Serverless computing has attracted many researchers with features such as scalability and optimization of operating costs, no need to manage infrastructures, and build programs at a higher speed. Serverless computing can be used for real-time machine learning (ML) prediction using serverless inference functions. Deploying an ML serverless inference function involves building a compute resource, deploying an ML model, network infrastructure, and permissions to call the inference function. However, the subject of machine learning inference (MLI) has challenges such as resource management, delay and response time, large and complex models, and security and privacy, not many studies have been conducted in this field. This comprehensive literature review article examines the recent developments in MLI in serverless computing environments. The mechanisms presented in the taxonomy can be summarized in four categories: service level objective SLO-aware, acceleration-aware, framework-aware, and latency-aware. In each category, different methods and algorithms used to optimize inference in serverless environments have been examined along with their advantages and disadvantages. We show that acceleration-aware methods focus on the optimal use of computing resources, and framework-aware methods play an important role in improving system efficiency and scalability by examining different frameworks for inference in serverless environments. Also, SLO-aware and Latency-aware methods, considering time limits and service level agreement, help provide quality and reliable inference in serverless environments. Finally, this article presents a vision of future challenges and opportunities in this field and provides solutions for future research in the field of MLI in serverless. © The Author(s), under exclusive licence to Springer-Verlag GmbH Austria, part of Springer Nature 2025.</t>
  </si>
  <si>
    <t>Deep learning; Function-as-a-service; Inference serving models; Machine learning inference; Serverless computing</t>
  </si>
  <si>
    <t>Adversarial machine learning; Deep learning; Quality of service; Resource allocation; Deep learning; Function-as-a-service; High Speed; Inference functions; Inference serving model; Latency-aware; Machine learning inference; Machine-learning; Optimisations; Serverless computing; Scalability</t>
  </si>
  <si>
    <t>2-s2.0-85214579272</t>
  </si>
  <si>
    <t>Wang H.; Rajakumar V.S.; Golec M.; Gill S.S.; Uhlig S.</t>
  </si>
  <si>
    <t>Wang, Han (59567352100); Rajakumar, Vidhyaa Shree (59567030400); Golec, Muhammed (57219976731); Gill, Sukhpal Singh (57216940144); Uhlig, Steve (55148419500)</t>
  </si>
  <si>
    <t>59567352100; 59567030400; 57219976731; 57216940144; 55148419500</t>
  </si>
  <si>
    <t>StockAICloud: AI-based sustainable and scalable stock price prediction framework using serverless cloud computing</t>
  </si>
  <si>
    <t>10.1007/s11227-025-06984-7</t>
  </si>
  <si>
    <t>The inherent volatility of the stock market presents significant challenges for accurate price forecasting, influenced by factors such as market sentiment, economic indicators, and geopolitical events. In this paper, we propose an Artificial Intelligence (AI)-based stock price prediction framework, StockAICloud, built with FastAPI to offer scalable and sustainable services via serverless cloud computing. The StockAICloud framework focuses on HDFC Bank’s stock and forecasts both open and close prices for future dates, using historical data obtained from Yahoo Finance. StockAICloud employs three deep learning models, including long short-term memory (LSTM), gated recurrent units (GRU), and convolutional neural networks (CNN), with experimental results showing that the LSTM model achieved the highest performance (R2 = 0.9106), making it the preferred choice for deployment. Further, StockAICloud was deployed on both server-based and serverless cloud environments. The serverless deployment on amazon web services (AWS) Fargate demonstrated superior scalability under high concurrency, achieving a maximum throughput of 21.2 requests per minute with 400 concurrent requests. These findings underscore the potential of integrating deep learning models with scalable serverless cloud services to deliver sustainable and real-time stock price predictions. © The Author(s), under exclusive licence to Springer Science+Business Media, LLC, part of Springer Nature 2025.</t>
  </si>
  <si>
    <t>Cloud deployment; Deep learning; Neural networks; Serverless computing; Stock price prediction; Time series model</t>
  </si>
  <si>
    <t>Cloud platforms; Costs; Long short-term memory; Cloud deployments; Cloud-computing; Deep learning; Learning models; Neural-networks; Price forecasting; Serverless computing; Short term memory; Stock price prediction; Times series models; Convolutional neural networks</t>
  </si>
  <si>
    <t>2-s2.0-85218417530</t>
  </si>
  <si>
    <t>Data pipeline approaches in serverless computing: a taxonomy, review, and research trends</t>
  </si>
  <si>
    <t>Journal of Big Data</t>
  </si>
  <si>
    <t>10.1186/s40537-024-00939-0</t>
  </si>
  <si>
    <t>Serverless computing has gained significant popularity due to its scalability, cost-effectiveness, and ease of deployment. With the exponential growth of data, organizations face the challenge of efficiently processing and analyzing vast amounts of data in a serverless environment. Data pipelines play a crucial role in managing and transforming data within serverless architectures. This paper provides a taxonomy of data pipeline approaches in serverless computing. Classification is based on architectural features, data processing techniques, and workflow orchestration mechanisms, these approaches are categorized into three primary methods: heuristic-based approach, Machine learning-based approach, and framework-based approach. Furthermore, a systematic review of existing data pipeline frameworks and tools is provided, encompassing their strengths, limitations, and real-world use cases. The advantages and disadvantages of each approach, also the challenges and performance metrics that influence their effectuality have been examined. Every data pipeline approach has certain advantages and disadvantages, whether it is framework-based, heuristic-based, or machine learning-based. Each approach is suitable for specific use cases. Hence, it is crucial assess the trade-offs between complexity, performance, cost, and scalability, while selecting a data pipeline approach. In the end, the paper highlights a number of open issues and future investigations directions for data pipeline in the serverless computing, which involve scalability, fault tolerance, data real time processing, data workflow orchestration, function state management with performance and cost in the serverless computing environments. © The Author(s) 2024.</t>
  </si>
  <si>
    <t>Big data; Cloud computing; Data analysis; Data parallelism; Data pipeline; Data stream processing; Function as a service; Serverless computing</t>
  </si>
  <si>
    <t>Cost effectiveness; Data handling; Economic and social effects; Fault tolerance; Heuristic methods; Machine learning; Metadata; Pipeline processing systems; Pipelines; Scalability; Taxonomies; Cloud-computing; Data parallelism; Data pipelines; Data streams processing; Exponential growth; Function as a service; Machine-learning; Research trends; Serverless computing; Work-flows; Big data</t>
  </si>
  <si>
    <t>2-s2.0-85195816850</t>
  </si>
  <si>
    <t>Daraghmeh M.; Agarwal A.; Jararweh Y.</t>
  </si>
  <si>
    <t>Daraghmeh, Mustafa (57199570919); Agarwal, Anjali (7401480883); Jararweh, Yaser (25825095600)</t>
  </si>
  <si>
    <t>57199570919; 7401480883; 25825095600</t>
  </si>
  <si>
    <t>Optimizing serverless computing: A comparative analysis of multi-output regression models for predictive function invocations</t>
  </si>
  <si>
    <t>10.1016/j.simpat.2024.102925</t>
  </si>
  <si>
    <t>In the rapidly evolving domain of serverless computing, the need for efficient and accurate predictive methods of function invocation becomes paramount. This study introduces a comprehensive suite of innovations to improve the predictability and efficiency of function invocation within serverless architectures. By employing multi-output regression models, we perform a multi-level analysis of function invocation patterns across user, application, and function levels, revealing insights into granular workload behaviors. We rigorously investigate the impact of windowing techniques and dimensionality reduction on model performance via Principal Component Analysis (PCA), offering a nuanced understanding of data complexities and computational implications. Our novel comparative analysis framework meticulously evaluates the performance of these methods against various windowing configurations, utilizing the Azure Functions dataset for real-world applicability. In addition, we assess the temporal stability of the models and the variation of day-to-day performance, providing a holistic view of their operational viability. Our contributions address critical gaps in the predictive modeling of serverless computing and set a new benchmark for operational efficiency and data-driven decision-making in cloud environments. This study is poised to guide future advancements in serverless computing, driving theoretically sound and practically viable innovations. © 2024 The Author(s)</t>
  </si>
  <si>
    <t>Comparative analysis framework; Multi-output regression models; Predictive function invocation; Serverless computing; Windowing techniques</t>
  </si>
  <si>
    <t>Decision making; Efficiency; Analysis frameworks; Comparative analyse framework; Comparative analyzes; Multi-output; Multi-output regression model; Predictive function; Predictive function invocation; Regression modelling; Serverless computing; Windowing techniques; Principal component analysis</t>
  </si>
  <si>
    <t>2-s2.0-85189534997</t>
  </si>
  <si>
    <t>Femminella M.; Reali G.</t>
  </si>
  <si>
    <t>Femminella, Mauro (6602369231); Reali, Gianluca (7005839591)</t>
  </si>
  <si>
    <t>6602369231; 7005839591</t>
  </si>
  <si>
    <t>10.3390/a17080320</t>
  </si>
  <si>
    <t>Edge computing is one of the technological areas currently considered among the most promising for the implementation of many types of applications. In particular, IoT-type applications can benefit from reduced latency and better data protection. However, the price typically to be paid in order to benefit from the offered opportunities includes the need to use a reduced amount of resources compared to the traditional cloud environment. Indeed, it may happen that only one computing node can be used. In these situations, it is essential to introduce computing and memory resource management techniques that allow resources to be optimized while still guaranteeing acceptable performance, in terms of latency and probability of rejection. For this reason, the use of serverless technologies, managed by reinforcement learning algorithms, is an active area of research. In this paper, we explore and compare the performance of some machine learning algorithms for managing horizontal function autoscaling in a serverless edge computing system. In particular, we make use of open serverless technologies, deployed in a Kubernetes cluster, to experimentally fine-tune the performance of the algorithms. The results obtained allow both the understanding of some basic mechanisms typical of edge computing systems and related technologies that determine system performance and the guiding of configuration choices for systems in operation. © 2024 by the authors.</t>
  </si>
  <si>
    <t>artificial intelligence; edge computing; experimental performance evaluation; reinforcement learning; serverless computing</t>
  </si>
  <si>
    <t>Contrastive Learning; Mobile edge computing; Cloud environments; Computing applications; Computing system; Edge computing; Experimental performance evaluations; Performance; Reduced latencies; Reinforcement learning algorithms; Reinforcement learnings; Serverless computing; Adversarial machine learning</t>
  </si>
  <si>
    <t>2-s2.0-85202340690</t>
  </si>
  <si>
    <t>Yang J.; Abraham A.</t>
  </si>
  <si>
    <t>Yang, Jeong (35207416600); Abraham, Anoop (57955676700)</t>
  </si>
  <si>
    <t>35207416600; 57955676700</t>
  </si>
  <si>
    <t>Analyzing the Features, Usability, and Performance of Deploying a Containerized Mobile Web Application on Serverless Cloud Platforms</t>
  </si>
  <si>
    <t>10.3390/fi16120475</t>
  </si>
  <si>
    <t>Serverless computing services are offered by major cloud service providers such as Google Cloud Platform, Amazon Web Services, and Microsoft Azure. The primary purpose of the services is to offer efficiency and scalability in modern software development and IT operations while reducing overall costs and operational complexity. However, prospective customers often question which serverless service will best meet their organizational and business needs. This study analyzed the features, usability, and performance of three serverless cloud computing platforms: Google Cloud’s Cloud Run, Amazon Web Service’s App Runner, and Microsoft Azure’s Container Apps. The analysis was conducted with a containerized mobile application designed to track real-time bus locations for San Antonio public buses on specific routes and provide estimated arrival times for selected bus stops. The study evaluated various system-related features, including service configuration, pricing, and memory and CPU capacity, along with performance metrics such as container latency, distance matrix API response time, and CPU utilization for each service. The results of the analysis revealed that Google’s Cloud Run demonstrated better performance and usability than AWS’s App Runner and Microsoft Azure’s Container Apps. Cloud Run exhibited lower latency and faster response time for distance matrix queries. These findings provide valuable insights for selecting an appropriate serverless cloud service for similar containerized web applications. © 2024 by the authors.</t>
  </si>
  <si>
    <t>App Runner; cloud computing; Cloud Run; cold start; Container App; performance; serverless; usability</t>
  </si>
  <si>
    <t>Mobile applications; App runner; Cloud run; Cloud-computing; Cold-start; Container app; Google+; MicroSoft; Performance; Serverless; Usability; Cloud platforms</t>
  </si>
  <si>
    <t>2-s2.0-85213402991</t>
  </si>
  <si>
    <t>Mahdizadeh S.H.; Abrishami S.</t>
  </si>
  <si>
    <t>Mahdizadeh, Samaneh Hajy (58984309100); Abrishami, Saeid (36668156800)</t>
  </si>
  <si>
    <t>58984309100; 36668156800</t>
  </si>
  <si>
    <t>Serverless computing has revolutionized cloud-based software development for software developers, addressing many of the associated challenges. With resource management and infrastructure provisioning handled by the provider, developers can focus on deploying services at the application level, which has gained significant popularity. Edge computing, with its proximity to end-users and ability to offer low-cost, high-speed services, has emerged as a promising solution for latency-sensitive applications. By providing Function-as-a-Service (FaaS) capabilities at the network edge, it becomes easier to leverage the available edge capacity. However, edge servers have limited capacity to provide FaaS services, and user access is typically restricted to their geographic region. This presents a challenge in achieving optimal resource allocation in a multi-user environment, given the dynamic and unpredictable nature of edge computing. To address these challenges, we have proposed a dynamic resource provisioning and allocation approach for Edge FaaS. Our approach models the application structure as a directed acyclic graph, representing a workflow of computational functions. Drawing inspiration from the many-to-many assignment mechanism used in the course allocation problem, we have developed a mechanism to assign multi-user workflows to the limited Edge FaaS resources. This mechanism considers the priority of users’ ready tasks, determined by upward rank, with the goal of reducing workflow execution time. Additionally, we have proposed two methods for on-demand provisioning: the Highest Bid First Mechanism (HBFM) and the Warm Function First Mechanism (WFFM). Experimental results have shown that the proposed resource allocation methods effectively allocate limited resources to users, leading to reduced workflow completion time. © 2024 Elsevier B.V.</t>
  </si>
  <si>
    <t>Course allocation; Edge function-as-a-service; Mechanism design; Resource allocation and provisioning; Workflow scheduling</t>
  </si>
  <si>
    <t>Curricula; Directed graphs; Dynamics; Edge computing; Machine design; Software design; Cloud-based; Course allocation; Edge computing; Edge function; Edge function-as-a-service; Mechanism design; Resource allocation and provisioning; Resources allocation; Work-flows; Workflow scheduling; Resource allocation</t>
  </si>
  <si>
    <t>2-s2.0-85190310122</t>
  </si>
  <si>
    <t>Ghorbian M.; Ghobaei-Arani M.</t>
  </si>
  <si>
    <t>Ghorbian, Mohsen (58205003500); Ghobaei-Arani, Mostafa (57189577393)</t>
  </si>
  <si>
    <t>58205003500; 57189577393</t>
  </si>
  <si>
    <t>In recent years, serverless computing has become one of the popular approaches to developing and running applications, allowing developers to run their code directly in the cloud without worrying about managing server infrastructure. One of the critical aspects of serverless computing is offloading approaches, which refers to transferring computing tasks or data to other locations to reduce the processing load of local devices. Considering the use of different approaches and strategies in the offloading process in serverless computing, not choosing the right approach can cause the unloading process to face challenges such as network delay, security problems, and complexity of resource management. Therefore, a detailed understanding of the loading approaches used in serverless computing can significantly reduce the challenges in this process. This paper provides a comprehensive and systematic review of various commonly used offloading approaches in serverless computing in the form of a taxonomy. The applied approaches are based on machine learning (ML), frameworks, in-network computing (INC), and heuristics. This classification is done to identify the strengths and weaknesses of each of these approaches to help developers improve the productivity and efficiency of their systems by choosing the best offloading strategies. Another goal of this article is to identify and analyze open challenges and issues related to the offloading process in serverless computing to propose effective solutions to these challenges and provide future research directions. Finally, this article expands the existing knowledge in the offloading field and creates new fields for research and development. © 2024 Elsevier Ltd</t>
  </si>
  <si>
    <t>Function offloading; Function-as-a-service; In-network computing (INC); Serverless computing</t>
  </si>
  <si>
    <t>Computing-task; Function offloading; Function-as-a-service; In networks; In-network computing; Network computing; Processing load; Running applications; Server infrastructure; Serverless computing; Computation offloading</t>
  </si>
  <si>
    <t>2-s2.0-85207907297</t>
  </si>
  <si>
    <t>Tran M.-N.; Kim Y.</t>
  </si>
  <si>
    <t>Tran, Minh-Ngoc (57216121561); Kim, YoungHan (56812550600)</t>
  </si>
  <si>
    <t>57216121561; 56812550600</t>
  </si>
  <si>
    <t>Serverless computing platforms currently provide application developers with two ways to control their services’ resource usage cost: resource usage-based and resource quota-based. In usage-based systems, resources are assigned to services based on the amount they consume. Meanwhile, a fixed resource amount is reserved and shared between services for quota-based systems. Several studies have been proposed to enhancing the default serverless auto- scaling algorithms to optimize resource usage and service quality. However, almost all previous works targeted usage-based systems and optimized auto-scaling performance for each separate service. In contrast, this work targets auto-scaling of concurrent services in serverless quota-based systems. In serverless quota-based systems, over-quota resource usage and latency Service Level Objective (SLO) violation may occur when auto-scaling new instances during burst traffic moments. Hence, we aim to find an optimal hybrid auto-scaling decision to minimize over-quota resource usage and latency SLO violation. To solve this problem, We applied deep reinforcement learning and traffic prediction techniques. Our solution is developed and implemented based on the characteristics of the most popular open-source serverless platform Knative. For evaluation, we compared our solution with the default Knative auto-scaler and our previously proposed usage-based hybrid Knative auto-scaler. We configured the default Knative auto-scaler with two different settings that can optimize the total resource usage of all services or minimize service latency. Compared to the optimized resource usage version, our solution traded a slightly higher resource usage for an 11.3% latency SLO violation duration reduction. Meanwhile, compared with the optimized latency version, our solution reduced the over-quota resource usage rate by 18.25% while achieving a similar latency SLO preservation performance. Compared to the usage-based hybrid auto-scaler, the latency SLO violation rate and over-quota resource usage were approximately reduced by half. © 2024</t>
  </si>
  <si>
    <t>Auto-scaling; Quality of service; Resource management; Resource quota; Serverless computing</t>
  </si>
  <si>
    <t>Deep learning; Quality of service; Traffic control; Auto-scaling; Concurrent service; Latency service levels; Quality-of-service; Resource management; Resource quota; Resource usage; Scalings; Serverless computing; Service level objective; Reinforcement learning</t>
  </si>
  <si>
    <t>2-s2.0-85195856406</t>
  </si>
  <si>
    <t>A survey on the cold start latency approaches in serverless computing: an optimization-based perspective</t>
  </si>
  <si>
    <t>10.1007/s00607-024-01335-5</t>
  </si>
  <si>
    <t>Serverless computing is one of the latest technologies that has received much attention from researchers and companies in recent years since it provides dynamic scalability and a clear economic model. Serverless computing enables users to pay only for the time they use resources. This approach has several benefits, including optimizing costs and resource utilization; however, cold starts are a concern and challenge. Various studies have been conducted in the academic and industrial sectors to deal with this problem, which poses a significant research challenge. This paper comprehensively reviews recent cold start research in serverless computing. Hence, this paper presents a detailed taxonomy of several serverless computing strategies for dealing with cold start latency. We have considered two main approaches in the proposed classification: Optimizing Loading Times (OLT) and Optimizing Resource Usage (ORU), each including several subsets. The subsets of the primary approach OLT are divided into container-based and checkpoint-based. Also, the primary approach ORU is divided into machine learning (ML)-based, optimization-based, and heuristic-based approaches. After analyzing current methods, we have categorized and investigated them according to their characteristics and commonalities. Additionally, we examine potential challenges and directions for future research. © The Author(s), under exclusive licence to Springer-Verlag GmbH Austria, part of Springer Nature 2024.</t>
  </si>
  <si>
    <t>68M14; 68M20; 68N01; 68N19; 68N30; 68Q85; 68Q87; 68T01; 68T05; 68U20; 68W10; 68W20; 68W40; 90B22; 90B35; 90C29; 90C31; 90C40; 90C59; 90C90; Cold start; Function-as-a-service; Optimizing loading time; Optimizing resource usage; Serverless computing</t>
  </si>
  <si>
    <t>68m14; 68m20; 68n01; 68n19; 68n30; 68q85; 68q87; 68t01; 68t05; 68u20; 68w10; 68w20; 68w40; 90b22; 90b35; 90c29; 90c31; 90c40; 90c59; 90c90; Cold-start; Function-as-a-service; Loading time; Optimizing loading time; Optimizing resource usage; Resource usage; Serverless computing</t>
  </si>
  <si>
    <t>2-s2.0-85201387769</t>
  </si>
  <si>
    <t>Sun Y.; Zhang C.; Huang T.</t>
  </si>
  <si>
    <t>Sun, Yuan (59132516800); Zhang, Chen (59132516900); Huang, Tao (56438364100)</t>
  </si>
  <si>
    <t>59132516800; 59132516900; 56438364100</t>
  </si>
  <si>
    <t>Joint Task Dispatching and Bandwidth Allocation with Hard Deadlines in Distributed Serverless Edge Computing Systems</t>
  </si>
  <si>
    <t>10.1007/s10723-024-09770-6</t>
  </si>
  <si>
    <t>Serverless computing lifts the burden of infrastructure maintenance from application developers and also reduces the usage cost of cloud/edge computing platforms. However, the pay-as-you-go pricing model offered by serverless computing complicates the task dispatching problem in serverless computing systems. Specifically, when the pay-as-you-go pricing model is adopted, the task response latency is not simply the task execution latency, but the cold-start latency and the container image downloading latency should also be considered as part of the task response latency. In this paper, we focus on the joint task dispatching and bandwidth allocation problem with hard deadlines in distributed serverless edge computing systems. To maximize the overall profit, a new algorithm called PN-GRD is presented. PN-GRD first uses a Pointer Network model that is well trained offline to inference a task permutation, which is used to determine the task priority. Then, multiple edge node selection steps are carried out to select an edge node for each task according to the task priority. The final task dispatching and bandwidth allocation is obtained once the best edge node for every task is chosen or none of the edge nodes is suitable to run a task. We validate the performance of PN-GRD through simulations. The results show that PN-GRD outperforms practical baselines in terms of the average overall profit. © The Author(s), under exclusive licence to Springer Nature B.V. 2024.</t>
  </si>
  <si>
    <t>Bandwidth allocation; Edge computing; Hard deadlines; Serverless computing; Task dispatching</t>
  </si>
  <si>
    <t>Bandwidth; Costs; Profitability; Computing system; Edge computing; Edge nodes; Hard deadline; Infrastructure maintenance; Pay as you go; Pricing models; Serverless computing; Task dispatching; Task priorities; Edge computing</t>
  </si>
  <si>
    <t>2-s2.0-85193484810</t>
  </si>
  <si>
    <t>Nastic S.</t>
  </si>
  <si>
    <t>Nastic, Stefan (55549511800)</t>
  </si>
  <si>
    <t>Self-Provisioning Infrastructures for the Next Generation Serverless Computing</t>
  </si>
  <si>
    <t>10.1007/s42979-024-03022-w</t>
  </si>
  <si>
    <t>Serverless computing has ushered in a transformative paradigm, with a promise to alleviate developers from the intricacies of infrastructure management. However, current serverless platforms predominantly offer only serverless compute capabilities. As a consequence, the application developers are once again tasked to explicitly provision and manage the backend services (BaaS), such as object stores or API gateways, the infrastructure, and the configuration models. This violates the main promise of serverless computing and erases much of the practical benefits of the serverless paradigm. It also introduces the challenges of managing the application execution environment, which includes maintaining provisioning and deployment scripts, configuring and managing access permissions, and scaling the services during runtime. To address these challenges, in this paper we introduce a novel paradigm for the next generation of serverless computing, called self-provisioning infrastructure. The self-provisioning infrastructure is an infrastructure that is capable to automatically and autonomously (with zero-configuration and zero-touch) provision serverless functions, their infrastructure, and their supporting BaaS services. To achieve this vision, we introduce novel design principles, models, and mechanisms that are formalized via novel programming, function, and system models. With this novel paradigm, we intend to fortify the core design principles of serverless computing but also extend them to the entire application execution environment. By doing so, we aim to enable the next-generation serverless computing in the Edge-Cloud continuum. © The Author(s) 2024.</t>
  </si>
  <si>
    <t>Edge-cloud continuum; FaaS; Infrastructure provisioning; Self-provisioning; Serverless computing</t>
  </si>
  <si>
    <t>2-s2.0-85197868716</t>
  </si>
  <si>
    <t>Chowdhury M.</t>
  </si>
  <si>
    <t>Chowdhury, Mahfuzulhoq (55604498000)</t>
  </si>
  <si>
    <t>Campaign: A Personalized Offloading, Semantic Communication, Latency-aware Resource Slicing and SFC Orchestration for SDN and NFV Empowered 6G Serverless Computing Network</t>
  </si>
  <si>
    <t>Serverless computing has shifted cloud server management responsibilities away from end users and towards service providers. Serverless computing offers greater scalability, flexibility, ease of deployment, and cost-effective resource utilization. Previous serverless computing research excluded semantic communication, software-defined networking (SDN) and network function virtualization (NFV)-enabled service function chaining (SFC) orchestration, and minimum latency-aware hybrid worker selection based on user and service provider-retained resource usage, federated learning (FL), and blockchain (BC) operations. To overcome these issues, this article proposes cognitive intelligence, personalized offloading, FL and BC-based semantic and nonsemantic serverless applications with user satisfaction, multiple benefits, minimum hybrid latency cost-aware resource slicing, physical, digital, and NFV worker selection, and an SFC orchestration policy for SDN and NFV-enabled 6G networks that leverage user and service provider retained resource usage. Simulation results indicate that the proposed scheme improves E2E delay by over 40%, user financial gain by 4%, user satisfaction by 8%, and throughput by 6% when compared to existing schemes. © (2024), (International Association of Engineers). All rights reserved.</t>
  </si>
  <si>
    <t>Cognitive Intelligence; MEC; NFV; Resource Slicing; SDN; Semantic Communication; Serverless Computing; Service Function Chaining (SFC); Virtual Worker Selection</t>
  </si>
  <si>
    <t>Computation offloading; Internet service providers; Personnel selection; Resource allocation; Semantic Web; Cognitive intelligence; MEC; Network functions; Resource slicing; Semantic communication; Serverless computing; Service function chaining; Service functions; Software-defined networkings; Virtual worker selection; Virtualizations; Workers'; Network function virtualization</t>
  </si>
  <si>
    <t>2-s2.0-85205701686</t>
  </si>
  <si>
    <t>Karamzadeh A.; Shameli-Sendi A.</t>
  </si>
  <si>
    <t>Karamzadeh, Amirmohammad (59353190500); Shameli-Sendi, Alireza (55308191100)</t>
  </si>
  <si>
    <t>59353190500; 55308191100</t>
  </si>
  <si>
    <t>In recent years, serverless computing has gained considerable attention in academic, professional, and business circles. Unique features such as code development flexibility and the cost-efficient pay-as-you-go pricing model have led to predictions of widespread adoption of serverless services. Major players in the cloud computing sector, including industry giants like Amazon, Google, and Microsoft, have made significant advancements in the field of serverless services. However, cloud computing faces complex challenges, with two prominent ones being the latency caused by cold start instances and security vulnerabilities associated with container escapes. These challenges undermine the smooth execution of isolated functions, a concern amplified by technologies like Google gVisor and Kata Containers. While the integration of tools like lightweight virtual machines has alleviated concerns about container escape vulnerabilities, the primary issue remains the increased delay experienced during cold start instances in the execution of serverless functions. The purpose of this research is to propose an architecture that reduces cold start delay overhead by utilizing lightweight virtual machines within a commercial architecture, thereby achieving a setup that closely resembles real-world scenarios. This research employs supervised learning methodologies to predict function invocations by leveraging the execution patterns of other program functions. The goal is to proactively mitigate cold start scenarios by invoking the target function before actual user initiation, effectively transitioning from cold starts to warm starts. In this study, we compared our approach with two fixed and variable window strategies. Commercial platforms like Knative, OpenFaaS, and OpenWhisk typically employ a fixed 15-minute window during cold starts. In contrast to these platforms, our approach demonstrated a significant reduction in cold start incidents. Specifically, when calling a function 200 times with 5, 10, and 20 invocations within one hour, our approach achieved reductions in cold starts by 83.33%, 92.13%, and 90.90%, respectively. Compared to the variable window approach, which adjusts the window based on cold start values, our proposed approach was able to prevent 82.92%, 91.66%, and 90.56% of cold starts for the same scenario. These results highlight the effectiveness of our approach in significantly reducing cold starts, thereby enhancing the performance and responsiveness of serverless functions. Our method outperformed both fixed and variable window strategies, making it a valuable contribution to the field of serverless computing. Additionally, the implementation of pre-invocation strategies to convert cold starts into warm starts results in a substantial reduction in the execution time of functions within lightweight virtual machines. © 2024 Elsevier Ltd</t>
  </si>
  <si>
    <t>Cold start delay; Function as a service; Lightweight virtual machine; Machine learning; Serverless computing</t>
  </si>
  <si>
    <t>Cloud-computing; Cold start delay; Cold-start; Function as a service; Google+; Lightweight virtual machines; Machine-learning; Serverless computing; Variable windows; Warm start; Virtual machine</t>
  </si>
  <si>
    <t>2-s2.0-85205571825</t>
  </si>
  <si>
    <t>Ghorbian M.; Ghobaei-Arani M.; Esmaeili L.</t>
  </si>
  <si>
    <t>Ghorbian, Mohsen (58205003500); Ghobaei-Arani, Mostafa (57189577393); Esmaeili, Leila (52163349900)</t>
  </si>
  <si>
    <t>58205003500; 57189577393; 52163349900</t>
  </si>
  <si>
    <t>A survey on the scheduling mechanisms in serverless computing: a taxonomy, challenges, and trends</t>
  </si>
  <si>
    <t>10.1007/s10586-023-04264-8</t>
  </si>
  <si>
    <t>In recent years, serverless computing has received significant attention due to its innovative approach to cloud computing. In this novel approach, a new payment model is presented, and a microservice architecture is implemented to convert applications into functions. These characteristics make it an appropriate choice for topics related to the Internet of Things (IoT) devices at the network’s edge because they constantly suffer from a lack of resources, and the topic of optimal use of resources is significant for them. Scheduling algorithms are used in serverless computing to allocate resources, which is a mechanism for optimizing resource utilization. This process can be challenging due to a number of factors, including dynamic behavior, heterogeneous resources, workloads that vary in volume, and variations in number of requests. Therefore, these factors have caused the presentation of algorithms with different scheduling approaches in the literature. Despite many related serverless computing studies in the literature, to the best of the author’s knowledge, no systematic, comprehensive, and detailed survey has been published that focuses on scheduling algorithms in serverless computing. In this paper, we propose a survey on scheduling approaches in serverless computing across different computing environments, including cloud computing, edge computing, and fog computing, that are presented in a classical taxonomy. The proposed taxonomy is classified into six main approaches: Energy-aware, Data-aware, Deadline-aware, Package-aware, Resource-aware, and Hybrid. After that, open issues and inadequately investigated or new research challenges are discussed, and the survey is concluded. © The Author(s), under exclusive licence to Springer Science+Business Media, LLC, part of Springer Nature 2024.</t>
  </si>
  <si>
    <t>Data-aware scheduling; Deadline-aware scheduling; Energy-aware scheduling; Function as a service; Makespan; Package-aware scheduling; Performance evaluation; Resource management; Resource-aware scheduling; Scheduling algorithms; Serverless computing; Serverless edge computing</t>
  </si>
  <si>
    <t>Edge computing; Fog computing; Information management; Internet of things; Power management; Taxonomies; Data-aware scheduling; Deadline-aware scheduling; Edge computing; Energy-aware scheduling; Function as a service; Makespan; Package-aware scheduling; Performances evaluation; Resource management; Resource-aware scheduling; Serverless computing; Serverless edge computing; Scheduling algorithms</t>
  </si>
  <si>
    <t>2-s2.0-85185925529</t>
  </si>
  <si>
    <t>International Journal of Intelligent Engineering and Systems</t>
  </si>
  <si>
    <t>Shahid U.; Ahmed G.; Siddiqui S.; Shuja J.; Balogun A.O.</t>
  </si>
  <si>
    <t>Shahid, Urooba (58795706300); Ahmed, Ghufran (24723831800); Siddiqui, Shahbaz (57221663102); Shuja, Junaid (55345604500); Balogun, Abdullateef Oluwagbemiga (57218115934)</t>
  </si>
  <si>
    <t>58795706300; 24723831800; 57221663102; 55345604500; 57218115934</t>
  </si>
  <si>
    <t>Latency-Sensitive Function Placement among Heterogeneous Nodes in Serverless Computing</t>
  </si>
  <si>
    <t>10.3390/s24134195</t>
  </si>
  <si>
    <t>Function as a Service (FaaS) is highly beneficial to smart city infrastructure due to its flexibility, efficiency, and adaptability, specifically for integration in the digital landscape. FaaS has serverless setup, which means that an organization no longer has to worry about specific infrastructure management tasks; the developers can focus on how to deploy and create code efficiently. Since FaaS aligns well with the IoT, it easily integrates with IoT devices, thereby making it possible to perform event-based actions and real-time computations. In our research, we offer an exclusive likelihood-based model of adaptive machine learning for identifying the right place of function. We employ the XGBoost regressor to estimate the execution time for each function and utilize the decision tree regressor to predict network latency. By encompassing factors like network delay, arrival computation, and emphasis on resources, the machine learning model eases the selection process of a placement. In replication, we use Docker containers, focusing on serverless node type, serverless node variety, function location, deadlines, and edge-cloud topology. Thus, the primary objectives are to address deadlines and enhance the use of any resource, and from this, we can see that effective utilization of resources leads to enhanced deadline compliance. © 2024 by the authors.</t>
  </si>
  <si>
    <t>cloud; distributed; edge; hierarchical; machine learning; multi-tier; server less</t>
  </si>
  <si>
    <t>Decision trees; Internet of things; Distributed; Edge; Heterogeneous nodes; Hierarchical; Infrastructure managements; Machine-learning; Management tasks; Multi-tier; Sensitive functions; Server less; article; container; decision tree; human; latent period; machine learning; nonhuman; patient worry; Machine learning</t>
  </si>
  <si>
    <t>2-s2.0-85198362369</t>
  </si>
  <si>
    <t>Shuai Z.; Yunfei G.; Hongchao H.; Wenyan L.; Yawen W.</t>
  </si>
  <si>
    <t>Shuai, Zhang (57201883531); Yunfei, Guo (6508106635); Hongchao, Hu (16549774700); Wenyan, Liu (57226256120); Yawen, Wang (57203768665)</t>
  </si>
  <si>
    <t>57201883531; 6508106635; 16549774700; 57226256120; 57203768665</t>
  </si>
  <si>
    <t>ATSSC: An attack tolerant system in serverless computing</t>
  </si>
  <si>
    <t>China Communications</t>
  </si>
  <si>
    <t>10.23919/JCC.fa.2021-0635.202406</t>
  </si>
  <si>
    <t>Serverless computing is a promising paradigm in cloud computing that greatly simplifies cloud programming. With serverless computing, developers only provide function code to serverless platform, and these functions are invoked by its driven events. Nonetheless, security threats in serverless computing such as vulnerability-based security threats have become the pain point hindering its wide adoption. The ideas in proactive defense such as redundancy, diversity and dynamic provide promising approaches to protect against cyberattacks. However, these security technologies are mostly applied to serverless platform based on 'stacked' mode, as they are designed independent with serverless computing. The lack of security consideration in the initial design makes it especially challenging to achieve the all life cycle protection for serverless application with limited cost. In this paper, we present ATSSC, a proactive defense enabled attack tolerant serverless platform. ATSSC integrates the characteristic of redundancy, diversity and dynamic into serverless seamless to achieve high-level security and efficiency. Specifically, ATSSC constructs multiple diverse function replicas to process the driven events and performs cross-validation to verify the results. In order to create diverse function replicas, both software diversity and environment diversity are adopted. Furthermore, a dynamic function refresh strategy is proposed to keep the clean state of serverless functions. We implement ATSSC based on Kubernetes and Knative. Analysis and experimental results demonstrate that ATSSC can effectively protect serverless computing against cyberattacks with acceptable costs. © 2013 China Institute of Communications.</t>
  </si>
  <si>
    <t>active defense; attack tolerant; cloud computing; security; serverless computing</t>
  </si>
  <si>
    <t>2-s2.0-85196974646</t>
  </si>
  <si>
    <t>Shojaee rad Z.; Ghobaei-Arani M.; Ahsan R.</t>
  </si>
  <si>
    <t>Shojaee rad, Zahra (58884894000); Ghobaei-Arani, Mostafa (57189577393); Ahsan, Reza (57213679364)</t>
  </si>
  <si>
    <t>58884894000; 57189577393; 57213679364</t>
  </si>
  <si>
    <t>Memory orchestration mechanisms in serverless computing: a taxonomy, review and future directions</t>
  </si>
  <si>
    <t>10.1007/s10586-023-04251-z</t>
  </si>
  <si>
    <t>Serverless computing has become very popular in recent years due to its flexibility and cost efficiency. Serverless computing is a cloud computing model that allows developers to write and deploy code without managing the underlying infrastructure. Serverless computing has been welcomed due to its scalability, affordability, and ease of use. However, memory orchestration in serverless computing can be challenging due to the ephemeral nature of serverless functions, which are short-lived and stateless. This article has reviewed memory orchestration mechanisms and then presented a classification of memory orchestration mechanisms in serverless computing, which are classified into three main methods: Machine learning-based approach, Heuristic-based approach, and framework-based approach. The advantages and disadvantages of each mechanism as well as the challenges and performance metrics affecting their effectiveness have been investigated. Each memory orchestration approach, whether heuristic-based, framework-based, or machine learning-based, has its own advantages and disadvantages. Different mechanisms are suitable for different use cases. Therefore, it is important to carefully evaluate the trade-offs between performance, cost, and complexity when choosing a memory orchestration mechanism. Finally, the paper identifies several future research directions for memory orchestration in serverless computing, which include developing memory orchestration mechanisms and dynamic memory management, integrating memory orchestration mechanisms with other resource management mechanisms, security, memory sharing, compression, pricing, and investigating the relationships between memory orchestration with cost and performance in serverless computing. © The Author(s), under exclusive licence to Springer Science+Business Media, LLC, part of Springer Nature 2024.</t>
  </si>
  <si>
    <t>Cloud computing; Function as a service; Memory configuration; Memory optimization; Memory orchestration; Performance evaluation; Review; Serverless computing</t>
  </si>
  <si>
    <t>Economic and social effects; Function evaluation; Heuristic methods; Machine learning; Cloud-computing; Computing model; Cost-efficiency; Function as a service; Machine-learning; Memory configuration; Memory optimization; Memory orchestration; Performances evaluation; Serverless computing; Cloud computing</t>
  </si>
  <si>
    <t>2-s2.0-85184872263</t>
  </si>
  <si>
    <t>Wang W.; Wu Q.; Zhang Z.; Zeng J.; Zhang X.; Zhou M.</t>
  </si>
  <si>
    <t>Wang, Weiguo (58577853900); Wu, Quanwang (36549872300); Zhang, Zhiyong (59291665500); Zeng, Jie (59277870300); Zhang, Xiang (58577145800); Zhou, Mingqiang (55227792800)</t>
  </si>
  <si>
    <t>58577853900; 36549872300; 59291665500; 59277870300; 58577145800; 55227792800</t>
  </si>
  <si>
    <t>A probabilistic modeling and evolutionary optimization approach for serverless workflow configuration</t>
  </si>
  <si>
    <t>10.1002/spe.3268</t>
  </si>
  <si>
    <t>Serverless computing has nowadays become a mainstream paradigm to develop cloud-native applications owing to its high scalability, ease of usage and cost-effectiveness. Nevertheless, because of its poor infrastructure transparency, two main challenges emerge when users migrate their applications to a serverless platform: the lack of an effective analytical model for performance and billing, and the trade-off problem between them. In this paper, we formally define a serverless workflow and introduce the concept of execution instances. Based on them, a probabilistic performance and cost evaluation model is built to obtain their expected values for an input serverless workflow. Then, we design a tailored evolutionary optimization algorithm called EASW to tackle budget-constrained performance optimization and performance-constrained cost optimization problems. Extensive experiments were carried out to test the proposed model and optimization algorithm on AWS Lambda. Results reveal that our model can achieve an accuracy over 98% and EASW can yield a better memory configuration solution than existing methods for constrained optimization. © 2023 John Wiley &amp; Sons, Ltd.</t>
  </si>
  <si>
    <t>constrained optimization; evolutionary algorithm; modeling; serverless computing; workflow</t>
  </si>
  <si>
    <t>Budget control; Constrained optimization; Cost effectiveness; Economic and social effects; Evolutionary optimizations; High scalabilities; Model optimization; Modeling; Optimization approach; Performance; Probabilistic models; Serverless computing; Trade-off problem; Work-flows; Evolutionary algorithms</t>
  </si>
  <si>
    <t>2-s2.0-85171265393</t>
  </si>
  <si>
    <t>Russo Russo G.; Ferrarelli D.; Pasquali D.; Cardellini V.; Lo Presti F.</t>
  </si>
  <si>
    <t>Russo Russo, Gabriele (57211560923); Ferrarelli, Daniele (58917766300); Pasquali, Diana (58918410600); Cardellini, Valeria (6603463586); Lo Presti, Francesco (6701823377)</t>
  </si>
  <si>
    <t>57211560923; 58917766300; 58918410600; 6603463586; 6701823377</t>
  </si>
  <si>
    <t>Function-as-a-Service (FaaS) paradigm is increasingly attractive to bring the benefits of serverless computing to the edge of the network, besides traditional Cloud data centers. However, FaaS adoption in the emerging Cloud-to-Edge Continuum is challenging, mostly due to geographical distribution and heterogeneous resource availability. This emerging landscape calls for effective strategies to trade off low latency at the edge of the network with Cloud resource richness, taking into account the needs of different functions and users. In this paper, we present QoS-aware offloading policies for serverless functions running in the Cloud-to-Edge continuum. We consider heterogeneous functions and service classes, and aim to maximize utility given a monetary budget for resource usage. Specifically, we introduce a two-level approach, where (i) FaaS nodes rely on a randomized policy to schedule every incoming request according to a set of probability values, and (ii) periodically, a linear programming model is solved to determine the probabilities to use for scheduling. We show by extensive simulation that our approach outperforms alternative approaches in terms of generated utility across multiple scenarios. Moreover, we demonstrate that our solution is computationally efficient and can be adopted in large-scale systems. We also demonstrate the functionality of our approach through a proof-of-concept experiment on an open-source FaaS framework. © 2024 The Author(s)</t>
  </si>
  <si>
    <t>Edge computing; Offloading; Quality of service; Serverless computing</t>
  </si>
  <si>
    <t>Budget control; Economic and social effects; Edge computing; Geographical distribution; Large scale systems; Linear programming; Open source software; Cloud data centers; Edge computing; Heterogeneous resources; Offloading; QoS-aware; Quality-of-service; Resource availability; Serverless computing; Service paradigm; Trade off; Quality of service</t>
  </si>
  <si>
    <t>2-s2.0-85186625740</t>
  </si>
  <si>
    <t>Liang H.; Zhang S.; Liu X.; Cheng G.; Ma H.; Wang Q.</t>
  </si>
  <si>
    <t>Liang, Hao (55632520000); Zhang, Shuai (57201883531); Liu, Xinlei (57226508991); Cheng, Guozhen (36974914200); Ma, Hailong (55723496400); Wang, Qingfeng (58171962500)</t>
  </si>
  <si>
    <t>55632520000; 57201883531; 57226508991; 36974914200; 55723496400; 58171962500</t>
  </si>
  <si>
    <t>SMWE: A Framework for Secure and Makespan-Oriented Workflow Execution in Serverless Computing</t>
  </si>
  <si>
    <t>10.3390/electronics13163246</t>
  </si>
  <si>
    <t>Serverless computing is a promising paradigm that greatly simplifies cloud programming. With serverless computing, developers simply provide event-driven functions to a serverless platform, and these functions can be orchestrated as serverless workflows to accomplish complex tasks. Due to the lightweight limitation of functions, serverless workflows not only suffer from existing vulnerability-based threats but also face new security threats from the function compiling phase. In this paper, we present SMWE, a secure and makespan-oriented workflow execution framework in serverless computing. SMWE enables all life cycle protection for functions by adopting compiler shifting and running environment replacement in the serverless workflow. Furthermore, SMWE balances the tradeoff between security and makespan by carefully scheduling functions to running environments and selectively applying the secure techniques to functions. Extensive evaluations show that SMWE significantly increases the security of serverless workflows with small makespan cost. © 2024 by the authors.</t>
  </si>
  <si>
    <t>cloud computing; makespan; proactive defense; security; serverless computing; workflow scheduling</t>
  </si>
  <si>
    <t>2-s2.0-85202660528</t>
  </si>
  <si>
    <t>10.3390/computers13090224</t>
  </si>
  <si>
    <t>Serverless computing is a new cloud computing model suitable for providing services in both large cloud and edge clusters. In edge clusters, the autoscaling functions play a key role on serverless platforms as the dynamic scaling of function instances can lead to reduced latency and efficient resource usage, both typical requirements of edge-hosted services. However, a badly configured scaling function can introduce unexpected latency due to so-called “cold start” events or service request losses. In this work, we focus on the optimization of resource-based autoscaling on OpenFaaS, the most-adopted open-source Kubernetes-based serverless platform, leveraging real-world serverless traffic traces. We resort to the reinforcement learning algorithm named Proximal Policy Optimization to dynamically configure the value of the Kubernetes Horizontal Pod Autoscaler, trained on real traffic. This was accomplished via a state space model able to take into account resource consumption, performance values, and time of day. In addition, the reward function definition promotes Service-Level Agreement (SLA) compliance. We evaluate the proposed agent, comparing its performance in terms of average latency, CPU usage, memory usage, and loss percentage with respect to the baseline system. The experimental results show the benefits provided by the proposed agent, obtaining a service time within the SLA while limiting resource consumption and service loss. © 2024 by the authors.</t>
  </si>
  <si>
    <t>edge computing; horizontal pod autoscaling; Kubernetes; performance evaluation; reinforcement learning; serverless</t>
  </si>
  <si>
    <t>2-s2.0-85205088035</t>
  </si>
  <si>
    <t>Aslanpour M.S.; Toosi A.N.; Cheema M.A.; Chhetri M.B.; Salehi M.A.</t>
  </si>
  <si>
    <t>Aslanpour, Mohammad Sadegh (55330442600); Toosi, Adel N. (17343102300); Cheema, Muhammad Aamir (23391752700); Chhetri, Mohan Baruwal (55940676600); Salehi, Mohsen Amini (7006812609)</t>
  </si>
  <si>
    <t>55330442600; 17343102300; 23391752700; 55940676600; 7006812609</t>
  </si>
  <si>
    <t>Serverless edge systems simplify the deployment of real-time AI-based Internet of Things (IoT) applications at the edge. However, the heterogeneity of edge computing nodes – in terms of both hardware and software – makes load balancing challenging in these systems. In this paper, we propose a performance-driven, empirical weight-tuning approach to achieve effective load balancing based on the characteristics and capabilities of the nodes. By extensively profiling the nodes, we gather knowledge on performance metrics such as throughput, energy efficiency, response time, AI accuracy, and cost. Using this acquired knowledge, we introduce a weighted round-robin strategy to optimize the performance metrics according to their observed significance. To address multiple objectives, we introduce a multi-objective method that aims to strike a balance between any arbitrary set of performance objectives simultaneously. Additionally, we explore a coordinated distributed approach to overcome the limitations of centralized load balancing. Next, we introduce Hedgi, a heterogeneous serverless edge architecture designed to efficiently configure and utilize the derived load balancing policies, validated empirically. To demonstrate the practicality of Hedgi, we containerize and serverlessize a real-time object detection application. Extensive empirical studies are conducted using Hedgi to evaluate the performance of the proposed load balancing approach. The results provide valuable insights into the design trade-offs of various load balancing policies and system designs in the heterogeneous serverless edge. © 2024 The Author(s)</t>
  </si>
  <si>
    <t>Edge computing; Function-as-a-service; Heterogeneity; Load balancing; Performance; Serverless</t>
  </si>
  <si>
    <t>Economic and social effects; Energy efficiency; Internet of things; Object detection; Real time systems; Edge computing; Function-as-a-service; Heterogeneity; Load balancing policies; Load-Balancing; Performance; Performance metrices; Performance-driven; Real- time; Serverless; Edge computing</t>
  </si>
  <si>
    <t>2-s2.0-85184753148</t>
  </si>
  <si>
    <t>Khan A.A.; Laghari A.A.; Baqasah A.M.; Alroobaea R.; Almadhor A.; Sampedro G.A.; Kryvinska N.</t>
  </si>
  <si>
    <t>Khan, Abdullah Ayub (57223873126); Laghari, Asif Ali (57192411704); Baqasah, Abdullah M. (57433730800); Alroobaea, Roobaea (56004657600); Almadhor, Ahmad (57202875014); Sampedro, Gabriel Avelino (57208213752); Kryvinska, Natalia (6507487726)</t>
  </si>
  <si>
    <t>57223873126; 57192411704; 57433730800; 56004657600; 57202875014; 57208213752; 6507487726</t>
  </si>
  <si>
    <t>Blockchain-enabled infrastructural security solution for serverless consortium fog and edge computing</t>
  </si>
  <si>
    <t>PeerJ Computer Science</t>
  </si>
  <si>
    <t>10.7717/peerj-cs.1933</t>
  </si>
  <si>
    <t>The robust development of the blockchain distributed ledger, the Internet of Things (IoT), and fog computing-enabled connected devices and nodes has changed our lifestyle nowadays. Due to this, the increased rate of device sales and utilization increases the demand for edge computing technology with collaborative procedures. However, there is a well-established paradigm designed to optimize various distinct qualityof-service requirements, including bandwidth, latency, transmission power, delay, duty cycle, throughput, response, and edge sense, and bring computation and data storage closer to the devices and edges, along with ledger security and privacy during transmission. In this article, we present a systematic review of blockchain Hyperledger enabling fog and edge computing, which integrates as an outsourcing computation over the serverless consortium network environment. The main objective of this article is to classify recently published articles and survey reports on the current status in the domain of edge distributed computing and outsourcing computation, such as fog and edge. In addition, we proposed a blockchain-Hyperledger Sawtooth-enabled serverless edgebased distributed outsourcing computation architecture. This theoretical architecturebased solution delivers robust data security in terms of integrity, transparency, provenance, and privacy-protected preservation in the immutable storage to store the outsourcing computational ledgers. This article also highlights the changes between the proposed taxonomy and the current system based on distinct parameters, such as system security and privacy. Finally, a few open research issues and limitations with promising future directions are listed for future research work. © Copyright 2024 Ayub Khan et al.</t>
  </si>
  <si>
    <t>Blockchain hyperledger; Chain codes (smart contracts); Data management; Edge computing; Fog computing; Outsourcing computation</t>
  </si>
  <si>
    <t>Blockchain; Codes (symbols); Digital storage; Distributed ledger; Edge computing; Fog; Fog computing; Information management; Internet of things; Network architecture; Outsourcing; Block-chain; Blockchain hyperledg; Chain code (smart contract); Chain codes; Computing technology; Edge computing; Outsourcing computation; Robust development; Security and privacy; Security solutions; Smart contract</t>
  </si>
  <si>
    <t>2-s2.0-85190277199</t>
  </si>
  <si>
    <t>Wang Z.; Goudarzi M.; Gong M.; Buyya R.</t>
  </si>
  <si>
    <t>Wang, Zhiyu (57372883900); Goudarzi, Mohammad (57197131768); Gong, Mingming (36617384500); Buyya, Rajkumar (57194845546)</t>
  </si>
  <si>
    <t>57372883900; 57197131768; 36617384500; 57194845546</t>
  </si>
  <si>
    <t>Edge/fog computing, as a distributed computing paradigm, satisfies the low-latency requirements of ever-increasing number of IoT applications and has become the mainstream computing paradigm behind IoT applications. However, because large number of IoT applications require execution on the edge/fog resources, the servers may be overloaded. Hence, it may disrupt the edge/fog servers and also negatively affect IoT applications’ response time. Moreover, many IoT applications are composed of dependent components incurring extra constraints for their execution. Besides, edge/fog computing environments and IoT applications are inherently dynamic and stochastic. Thus, efficient and adaptive scheduling of IoT applications in heterogeneous edge/fog computing environments is of paramount importance. However, limited computational resources on edge/fog servers imposes an extra burden for applying optimal but computationally demanding techniques. To overcome these challenges, we propose a Deep Reinforcement Learning-based IoT application Scheduling algorithm, called DRLIS to adaptively and efficiently optimize the response time of heterogeneous IoT applications and balance the load of the edge/fog servers. We implemented DRLIS as a practical scheduler in the FogBus2 function-as-a-service framework for creating an edge–fog–cloud integrated serverless computing environment. Results obtained from extensive experiments show that DRLIS significantly reduces the execution cost of IoT applications by up to 55%, 37%, and 50% in terms of load balancing, response time, and weighted cost, respectively, compared with metaheuristic algorithms and other reinforcement learning techniques. © 2023 The Author(s)</t>
  </si>
  <si>
    <t>Deep reinforcement learning; Edge computing; Fog computing; Internet of Things; Machine learning</t>
  </si>
  <si>
    <t>Balancing; Deep learning; Edge computing; Fog; Fog computing; Internet of things; Learning algorithms; Learning systems; Optimization; Resource allocation; Scheduling algorithms; Stochastic systems; Computing environments; Computing paradigm; Deep reinforcement learning; Edge computing; Low latency; Machine-learning; Reinforcement learnings; Stochastics; System loads; System response; Reinforcement learning</t>
  </si>
  <si>
    <t>2-s2.0-85175341854</t>
  </si>
  <si>
    <t>Mahalingam G.; Appusamy R.</t>
  </si>
  <si>
    <t>Mahalingam, Ganeshan (59296259300); Appusamy, Rajesh (57203219410)</t>
  </si>
  <si>
    <t>59296259300; 57203219410</t>
  </si>
  <si>
    <t>Forecast for Container Retention in IoT Serverless Applications on OpenWhisk</t>
  </si>
  <si>
    <t>10.14569/IJACSA.2024.01507119</t>
  </si>
  <si>
    <t>This research tackles resource management in OpenWhisk-based serverless applications for the Internet of Things (IoT) by introducing a novel approach to container retention optimization. We leverage the capabilities of AWS Forecast, specifically its DeepAR+ and Prophet algorithms, to dynamically forecast workload patterns. This real-time forecast empowers us to make adaptive adjustments to container retention durations. By optimizing retention times, we can effectively mitigate cold start latency, the primary reason behind sluggish response times in IoT serverless environments. Our approach outperforms conventional preloading and chaining techniques by significantly increasing resource utilization efficiency. Since OpenWhisk is an open-source platform, our methodology was able to achieve a cost reduction. By integrating it with Amazon Forecast's built-in algorithms, we surpassed traditional cache cold start strategies. These findings strongly support the viability of dynamic container retention optimization for IoT serverless deployments. Evaluations conducted on the OpenWhisk platform demonstrate substantial benefits. We observed a remarkable 67% reduction in cold start latency, translating to expedited response times and a demonstrably enhanced end-user application experience. These findings convincingly validate the efficacy of AWS Forecast in optimizing container retention for IoT serverless deployments by capitalizing on its deep learning (DeepAR+) and interpretable forecasting (Prophet) abilities. This research lays a solid foundation for future studies on optimizing container management across various DevOps practices and container orchestration platforms, contributing to the advancement of efficient and responsive serverless architectures. © (2024), (Science and Information Organization). All Rights Reserved.</t>
  </si>
  <si>
    <t>AWS EKS; AWS Forecast Deep AR+; cold start; docker and containers; OpenWhisk; Prophet; Serverless IoT</t>
  </si>
  <si>
    <t>AWS EKS; AWS forecast deep AR+; Cold-start; Docker and container; Openwhisk; Optimisations; Prophet; Resource management; Serverless internet of thing; Workload patterns; Resource allocation</t>
  </si>
  <si>
    <t>2-s2.0-85201870188</t>
  </si>
  <si>
    <t>Khatri D.; Khatri S.K.; Mishra D.</t>
  </si>
  <si>
    <t>Khatri, Deepak (57219486486); Khatri, Sunil Kumar (7004522901); Mishra, Deepti (15730011900)</t>
  </si>
  <si>
    <t>57219486486; 7004522901; 15730011900</t>
  </si>
  <si>
    <t>Intelligent Framework in a Serverless Computing for Serving using Artificial Intelligence and Machine Learning</t>
  </si>
  <si>
    <t>10.14569/IJACSA.2024.0150504</t>
  </si>
  <si>
    <t>Serverless computing has grown in popularity as a paradigm for deploying applications in the cloud due to its ability to scale, cost-effectiveness, and simplified infrastructure management. Serverless architectures can benefit AI and Machine Learning (ML) models, which are becoming increasingly complex and resource-intensive. This study investigates the integration of AI/ML frameworks and models into serverless computing environments. It explains the steps involved, including model training, deployment, packaging, function implementation, and inference. Serverless platforms’ auto-scaling capabilities allow for seamless handling of varying workloads, while built-in monitoring and logging features ensure effective management. Continuous integration and deployment pipelines simplify the deployment process. Using serverless computing for AI/ML models offers developers scalability, flexibility, and cost savings, allowing them to focus on model development rather than infrastructure issues. The proposed model leverages performance forecasting and serverless computing model deployment using virtual machines, specifically utilizing the Knative platform. Experimental validation demonstrates that the model effectively predicts performance based on specific parameters with minimal data collection. The results indicate significant improvements in scalability and cost efficiency while maintaining optimal performance. This performance model can guide application owners in selecting the best configurations for varying workloads and assist serverless providers in setting adaptive defaults for target value configurations. © (2024), (Science and Information Organization). All Rights Reserved.</t>
  </si>
  <si>
    <t>data analytics; Machine learning; performance testing; serverless computing</t>
  </si>
  <si>
    <t>Cloud analytics; Cost effectiveness; Machine learning; Scalability; Artificial intelligence learning; Data analytics; Infrastructure managements; Learning frameworks; Learning models; Machine learning models; Machine-learning; Performance testing; Serverless architecture; Serverless computing; Data Analytics</t>
  </si>
  <si>
    <t>2-s2.0-85195090680</t>
  </si>
  <si>
    <t>Zhou G.; Mohajer A.</t>
  </si>
  <si>
    <t>Zhou, Guoliang (57214457157); Mohajer, Amin (55608570700)</t>
  </si>
  <si>
    <t>57214457157; 55608570700</t>
  </si>
  <si>
    <t>Blind reconfigurable intelligent surfaces for dynamic offloading in fixed-NOMA mobile edge networks</t>
  </si>
  <si>
    <t>International Journal of Sensor Networks</t>
  </si>
  <si>
    <t>10.1504/IJSNET.2024.142517</t>
  </si>
  <si>
    <t>Integrating unmanned aerial vehicles (UAVs) into cellular networks offers a way to boost connectivity and service quality in both cities and remote areas. In this paper, we present a new framework that combines advanced deep learning techniques with backhaul traffic optimisation to manage resources efficiently in UAV-supported communication networks. Using intelligent reflecting surfaces (IRS) and cell-free communication strategies, our approach improves backhaul traffic, ensuring smooth data transmission and better network performance. To deal with diverse resource challenges, we introduce an adaptive offloading framework that enhances mobile edge networks through dynamic, traffic-aware resource allocation and serverless load balancing. Our method uses multi-agent deep learning for prediction of network demands, allowing for dynamic power control. Our simulations show that the proposed framework performs well in different scenarios, leading to higher efficiency and total network throughput. This framework offers a promising approach for managing resources in future UAV-supported mobile edge networks. © 2024 Inderscience Enterprises Ltd.</t>
  </si>
  <si>
    <t>cell-free communication; dynamic deep learning; intelligent reflecting surfaces; IRS; power control; serverless load balancing; UAV-aided edge networks</t>
  </si>
  <si>
    <t>Aircraft communication; Mobile edge computing; Mobile telecommunication systems; Unmanned aerial vehicles (UAV); Aerial vehicle; Cell-free; Cell-free communication; Dynamic deep learning; EDGE Networks; Free communications; Intelligent reflecting surface; Load-Balancing; Power-control; Reflecting surface; Serverless load balancing; Unmanned aerial vehicle-aided edge network; Resource allocation</t>
  </si>
  <si>
    <t>2-s2.0-85209205757</t>
  </si>
  <si>
    <t>Wireless Personal Communications</t>
  </si>
  <si>
    <t>Huang Y.-R.; Zhang J.; Hou H.-M.; Ye X.-C.; Chen Y.</t>
  </si>
  <si>
    <t>Huang, Yi-rui (58037303500); Zhang, Jing (55961792400); Hou, Hong-ming (58804143000); Ye, Xiu-cai (54793849700); Chen, Yi (58481777800)</t>
  </si>
  <si>
    <t>58037303500; 55961792400; 58804143000; 54793849700; 58481777800</t>
  </si>
  <si>
    <t>Vehicle trajectory data is essential for traffic management and location-based services. However, the release of trajectories raises serious privacy concerns because they contain sensitive information, such as home addresses and workplaces, etc, making it indispensable to consider privacy protection when releasing trajectory data. It is urgent to reconcile data utility with privacy in trajectory generation calls for advanced methods that adhere to real-world traffic rules. Leveraging serverless computing for deep learning provides an efficient solution, bypassing infrastructure complexities to handle the scale trajectory data. In this paper, a Geo-Piecewise Mechanism Deep Maximum Entropy Inverse Reinforcement Learning (GeoPM-DMEIRL) is proposed for secure trajectory generation, which consists of three key components, namely GeoPM, A2C reinforcement learning and DMEIRL. Firstly, GeoPM is a novel local differential privacy mechanism that incorporates Geo-aware gridding techniques. The Piecewise Mechanism is used to perturb the user trajectory while ensuring that the perturbed trajectory conforms to real-world traffic rules. Secondly, an A2C reinforcement learning network is refined to train the optimal trajectory generation strategy. Thirdly, Deep Maximum Entropy Inverse Reinforcement Learning is improved to train the weights of the A2C reward function. Finally, real-world data are collected in the experiments and the serverless computing platform AWS Lambda is used for training the reinforcement learning models. Experimental results show that our proposed GeoPM-DMEIRL framework can effectively resist user re-identification attacks, which can improve the utility by an average of 54.605% and enhance the privacy by an average of 30.678%. Meanwhile, GeoPM-DMEIRL is able to maintain the utility of the data while protecting the privacy of the user's trajectories. © 2024 Elsevier B.V.</t>
  </si>
  <si>
    <t>Deep reinforcement learning; Local differential privacy; Location based services; Serverless computing; Trajectory privacy</t>
  </si>
  <si>
    <t>Deep learning; Entropy; Inverse problems; Learning systems; Location based services; Reinforcement learning; Sensitive data; Telecommunication services; Deep reinforcement learning; Differential privacies; Inverse reinforcement learning; Local differential privacy; Location-based services; Maximum-entropy; Piece-wise; Reinforcement learnings; Serverless computing; Trajectory privacy; Trajectories</t>
  </si>
  <si>
    <t>2-s2.0-85181971027</t>
  </si>
  <si>
    <t>Hussain R.F.; Salehi M.A.</t>
  </si>
  <si>
    <t>Hussain, Razin Farhan (57207768498); Salehi, Mohsen Amini (7006812609)</t>
  </si>
  <si>
    <t>57207768498; 7006812609</t>
  </si>
  <si>
    <t>The Industry 4.0 revolution has been made possible via AI-based applications (e.g., for automation and maintenance) deployed on the serverless edge (aka fog) computing platforms at the industrial sites—where the data is generated. Nevertheless, fulfilling the fault-intolerant and real-time constraints of Industry 4.0 applications on resource-limited fog systems in remote industrial sites (e.g., offshore oil fields) that are uncertain, disaster-prone, and have no cloud access is challenging. It is this challenge that our research aims at addressing. We consider the inelastic nature of the fog systems, software architecture of the industrial applications (micro-service-based versus monolithic), and scarcity of human experts in remote sites. To enable cloud-like elasticity, our approach is to dynamically and seamlessly (i.e., without human intervention) federate nearby fog systems. Then, we develop serverless resource allocation solutions that are cognizant of the applications’ software architecture, their latency requirements, and distributed nature of the underlying infrastructure. We propose methods to seamlessly and optimally partition micro-service-based application across the federated fog. Our experimental evaluation express that not only the elasticity is overcome in a serverless manner, but also our developed application partitioning method can serve around 20% more tasks on-time than the existing methods in the literature. © 2024 Elsevier B.V.</t>
  </si>
  <si>
    <t>Application programs; Fog; Fog computing; Industry 4.0; Offshore oil well production; Real time systems; Resource allocation; Fog federation; Industrial sites; Industry 4.0 application; Micro services; Micro-service architecture; Resources allocation; Serverless computing; Services applications; Services Architectures; Workflow partitioning; Software architecture</t>
  </si>
  <si>
    <t>2-s2.0-85183967220</t>
  </si>
  <si>
    <t>Sahaya Sakila V.; Manohar S.</t>
  </si>
  <si>
    <t>Sahaya Sakila, V. (57209465391); Manohar, S. (57125666600)</t>
  </si>
  <si>
    <t>57209465391; 57125666600</t>
  </si>
  <si>
    <t>Real-time air quality monitoring in Bull Trench Kiln-based Brick industry by calibrating sensor readings and utilizing the Serverless Computing</t>
  </si>
  <si>
    <t>10.1016/j.eswa.2023.121397</t>
  </si>
  <si>
    <t>Bull Trench Kiln-based Brick industries are major contributors of Particulate Matter Pollutants (PM2.5 and PM10), which leads to deterioration of air quality, and hence needs to be monitored. As the static air monitoring stations require huge infrastructure and are sparsely located, it is necessary to find alternate ways using recent technologies like IoT, Machine Learning, and Serverless Computing. IoT devices being low cost and portable could be deployed near brick industries, however, they are sensitive to fluctuating ambient air temperature or humidity and hence have to be calibrated and there is a need for powerful back-end infrastructures for storage and analyses of data. The existing approach of transmitting IoT-based data to the cloud is time-consuming, energy inefficient, prone to scaling problems, has poor resource utilization, and is expensive. In this study, the IoT data are calibrated using ML Classifier algorithms and an Automatic Function Triggerer - Function-as-a-Service (AFT-FaaS) method is proposed, which is based on event-driven, Serverless method using AWS Lambda along with the Three-Tier Serverless architecture (Edge Tier, Fog Tire, and Cloud Tier) to deal with the challenges of delay, under-resource allocation, and to reduce the expenditures. The data transmitted to the cloud using the proposed AFT-FaaS method are indexed in ElasticSearch and Kibana is used for the analysis and visualization of data. While performing calibration, Random Forest Classifier was chosen as it had accuracy of above 98%. Finally, an in-depth pricing analysis is performed to better understand the difference between different configurations deployed for Serverless and non-Serverless Computing methods, which shows there is a significant reduction (7 times) of expenses incurred while using Serverless Computing than the non-Serverless Computing methods. © 2023 Elsevier Ltd</t>
  </si>
  <si>
    <t>Automatic Function Triggerer; AWS Lambda; Calibrating Sensor Data; Function-as-a-service; Machine Learning Algorithm; Particulate Matter (PM&lt;sub&gt;2.5&lt;/sub&gt; and PM&lt;sub&gt;10&lt;/sub&gt;); Serverless Computing</t>
  </si>
  <si>
    <t>Air quality; Brick; Cost benefit analysis; Data visualization; Digital storage; Internet of things; Kilns; Machine learning; Particles (particulate matter); Automatic function triggerer; AWS lambda; Calibrating sensor data; Function-as-a-service; Lambda's; Machine learning algorithms; Particulate Matter; Particulate matter (PM2.5 and PM10); PM 10; PM 2.5; Sensors data; Serverless computing; Deterioration</t>
  </si>
  <si>
    <t>2-s2.0-85171789642</t>
  </si>
  <si>
    <t>Filinis N.; Tzanettis I.; Spatharakis D.; Fotopoulou E.; Dimolitsas I.; Zafeiropoulos A.; Vassilakis C.; Papavassiliou S.</t>
  </si>
  <si>
    <t>Filinis, Nikos (57408829400); Tzanettis, Ioannis (57480145000); Spatharakis, Dimitrios (57205694452); Fotopoulou, Eleni (8727584800); Dimolitsas, Ioannis (57203091508); Zafeiropoulos, Anastasios (24333644200); Vassilakis, Constantinos (55627877790); Papavassiliou, Symeon (23567140500)</t>
  </si>
  <si>
    <t>57408829400; 57480145000; 57205694452; 8727584800; 57203091508; 24333644200; 55627877790; 23567140500</t>
  </si>
  <si>
    <t>Following the emergence of Internet of Things (IoT) and edge computing technologies and the development of distributed applications with strict Quality of Service (QoS) requirements, a transition is underway from centralized computing models to distributed computing continuum systems. The latter provide abstractions of the available resources, while they lead to the development of orchestration mechanisms with increased distributed intelligence and autonomy characteristics. These characteristics make the computing continuum suitable for managing serverless computing applications, considering their loose coupling with the resources and the need for reactiveness and efficiency to serve dynamic workloads in the edge and cloud part of the infrastructure. This paper presents an intent-based approach for the orchestration of a function chain over an edge and cloud infrastructure. We propose a Reinforcement Learning (RL) based autoscaling method that incorporates a reward function that aims to provide optimal utilization of resources and timely autoscaling of the functions, taking advantage of methods for workload prediction. Based on a high-level intent, the proposed optimization problem dictates the scheduling of the functions, minimizing the communication overhead and transformation cost while also considering the energy efficiency of the infrastructure. The proposed solution is evaluated with other state-of-the-art techniques for autoscaling and scheduling of serverless functions in a small edge infrastructure. Our solution provides 1.52% QoS violations with a slight increase in the deployed resources, while also significantly reducing the total cost and power consumption for the deployment of the function chain. © 2023 Elsevier B.V.</t>
  </si>
  <si>
    <t>Computing continuum; Intent-driven orchestration; Multi-cluster scheduling; Reinforcement Learning; Serverless computing; Service Level Objective</t>
  </si>
  <si>
    <t>Cluster computing; Energy efficiency; Green computing; Internet of things; Quality of service; Autoscaling; Cluster scheduling; Computing continuum; Edge computing; Intent-driven orchestration; Multi-cluster scheduling; Quality-of-service; Reinforcement learnings; Serverless computing; Service level objective; Reinforcement learning</t>
  </si>
  <si>
    <t>2-s2.0-85183445154</t>
  </si>
  <si>
    <t>Nowadays many modern and Artificial Intelligence (AI) enabled Internet of Things (IoT) applications consist of chains connecting microservices distributed across the fog and cloud layers to achieve a certain functionality. These microservices should be assigned to the available processing instances placed on the things, fog and cloud layers while considering the resource utilization, Quality of Service (QoS) parameters and requirements of the user. Despite several existing optimization approaches, IoT microservice composition remains a challenge in serverless computing architecture due to the large-scale environment, its dynamic nature and the heterogeneous nodes with limited capacity. To address these challenges, a novel IoT microservice composition based on serverless architecture is proposed in the fog layer. Serverless computing is a new paradigm which offers the ability to build scalable applications without worrying about back-end management making this paradigm particularly effective in IoT environment. We specifically propose a modified Deep Reinforcement Learning (DRL)-based Microservice Chaining at Fog Layer (DRLMCF) algorithm to improve the distributed chained microservice placement in order to minimize resource utilization and delay in a fog based serverless architecture. Unlike existing methods, the proposed DRLMCF is built on realistic assumptions and does not require expert tuning or a large amount of labeled data to make optimal decisions. Furthermore, our method is not entirely dependent on a central controller and fog nodes take part in the decision making thus making the algorithm scalable in IoT environment. Compared to state-of-the art methods including load balance, shortest path and random schedule algorithms, evaluation by simulating several real-world scenarios demonstrates the proposed DRLMCF improves end to end delay up to 57.3% and the number of successfully chained microservices by up to 84%. © 2023 Elsevier B.V.</t>
  </si>
  <si>
    <t>Fog computing; Function as a service; IoT; Microservice composition; Modified deep reinforcement learning; Serverless computing</t>
  </si>
  <si>
    <t>Computer architecture; Decision making; Deep learning; Fog; Fog computing; Internet of things; Learning algorithms; Network architecture; Quality of service; Scheduling algorithms; Cloud layers; Function as a service; Microservice composition; Modified deep reinforcement learning; Quality of Service parameters; Reinforcement learning algorithms; Reinforcement learnings; Resources utilizations; Serverless architecture; Serverless computing; Reinforcement learning</t>
  </si>
  <si>
    <t>2-s2.0-85178500308</t>
  </si>
  <si>
    <t>Sherawat A.; Nath S.B.; Addya S.K.</t>
  </si>
  <si>
    <t>Sherawat, Ajay (58897231700); Nath, Shubha Brata (57215811414); Addya, Sourav Kanti (56538204500)</t>
  </si>
  <si>
    <t>58897231700; 57215811414; 56538204500</t>
  </si>
  <si>
    <t>Optimizing Completion Time of Requests in Serverless Computing</t>
  </si>
  <si>
    <t>10.1007/s10922-024-09800-4</t>
  </si>
  <si>
    <t>Serverless computing offers people with the liberty of not thinking about the backend side of the things in an application development. They are scalable and cost efficient as they provide pay-for-use service. Providing acceptable performance while having no knowledge about the kind of application is the main challenge the cloud providers have. Many applications may have the need to be completed before the deadline. In that case, the request has to be completed before the deadline or else it will lead to service level agreement violation. If the cloud provider completes the requests faster, there would be less SLA violations. This will also reduce cost for the user as the functions will be completed sooner. Therefore, improving the completion time of the requests will benefit the user as well as the provider. In this paper, we present a method to improve the completion time of requests using genetic algorithm for allocation of requests to virtual machines that could provide optimal completion time for them. © The Author(s), under exclusive licence to Springer Science+Business Media, LLC, part of Springer Nature 2024.</t>
  </si>
  <si>
    <t>Container placement; Genetic algorithm; Serverless Ccomputing; Virtual machine</t>
  </si>
  <si>
    <t>Cloud computing; Network security; Virtual machine; Acceptable performance; Application development; Cloud providers; Completion time; Container placement; Cost-efficient; Optimal completion; Reduce costs; Serverless ccomputing; Servicelevel agreement (SLA); Genetic algorithms</t>
  </si>
  <si>
    <t>2-s2.0-85185567762</t>
  </si>
  <si>
    <t>Agiollo A.; Bellavista P.; Mendula M.; Omicini A.</t>
  </si>
  <si>
    <t>Agiollo, Andrea (57211286860); Bellavista, Paolo (6603925242); Mendula, Matteo (57220863182); Omicini, Andrea (57208540250)</t>
  </si>
  <si>
    <t>57211286860; 6603925242; 57220863182; 57208540250</t>
  </si>
  <si>
    <t>Federated Learning (FL) represents the de-facto standard paradigm for enabling distributed learning over multiple clients in real-world scenarios. Despite the great strides reached in terms of accuracy and privacy awareness, the real adoption of FL in real-world scenarios, in particular in industrial deployment environments, is still an open thread. This is mainly due to privacy constraints and to the additional complexity stemming from the set of hyperparameters to tune when employing AI techniques on bandwidth-, computing-, and energy-constrained nodes. Motivated by these issues, we focus on scenarios where participating clients are characterised by highly heterogeneous computing capabilities and energy budgets proposing EneA-FL, an innovative scheme for serverless smart energy management. This novel approach dynamically adapts to optimise the training process while fostering seamless interaction between Internet of Things (IoT) devices and edge nodes. In particular, the proposed middleware provides a containerised software module that efficiently manages the interaction of each worker node with the central aggregator. By monitoring local energy budget, computational capabilities, and target accuracy, EneA-FL intelligently takes informed decisions about the inclusion of specific nodes in the subsequent training rounds, effectively balancing the tripartite trade-off between energy consumption, training time, and final accuracy. Finally, in a series of extensive experiments across diverse scenarios, our solution demonstrates impressive results, achieving between 30% and 60% lower energy consumption against popular client selection approaches available in the literature while being up to 3.5 times more efficient than standard FL solutions. © 2024 The Author(s)</t>
  </si>
  <si>
    <t>Energy management; Federated learning; Internet of things; Resource-constrained learning; Serverless</t>
  </si>
  <si>
    <t>Budget control; Economic and social effects; Energy utilization; Green computing; Middleware; Power management; De facto standard; Distributed learning; Energy aware; Energy budgets; Federated learning; Multiple clients; Privacy awareness; Real-world scenario; Resource-constrained learning; Serverless; Internet of things</t>
  </si>
  <si>
    <t>2-s2.0-85182399653</t>
  </si>
  <si>
    <t>Shwe T.; Aritsugi M.</t>
  </si>
  <si>
    <t>Shwe, Thanda (25032052000); Aritsugi, Masayoshi (6602625390)</t>
  </si>
  <si>
    <t>25032052000; 6602625390</t>
  </si>
  <si>
    <t>Optimizing Data Processing: A Comparative Study of Big Data Platforms in Edge, Fog, and Cloud Layers</t>
  </si>
  <si>
    <t>10.3390/app14010452</t>
  </si>
  <si>
    <t>Intelligent applications in several areas increasingly rely on big data solutions to improve their efficiency, but the processing and management of big data incur high costs. Although cloud-computing-based big data management and processing offer a promising solution to provide scalable and abundant resources, the current cloud-based big data management platforms do not properly address the high latency, privacy, and bandwidth consumption challenges that arise when sending large volumes of user data to the cloud. Computing in the edge and fog layers is quickly emerging as an extension of cloud computing used to reduce latency and bandwidth consumption, resulting in some of the processing tasks being performed in edge/fog-layer devices. Although these devices are resource-constrained, recent increases in resource capacity provide the potential for collaborative big data processing. We investigated the deployment of data processing platforms based on three different computing paradigms, namely batch processing, stream processing, and function processing, by aggregating the processing power from a diverse set of nodes in the local area. Herein, we demonstrate the efficacy and viability of edge-/fog-layer big data processing across a variety of real-world applications and in comparison to the cloud-native approach in terms of performance. © 2024 by the authors.</t>
  </si>
  <si>
    <t>big data; computing platforms; IoT; serverless</t>
  </si>
  <si>
    <t>2-s2.0-85192474759</t>
  </si>
  <si>
    <t>Saha R.; Satpathy A.; Addya S.K.</t>
  </si>
  <si>
    <t>Saha, Rounak (57739744300); Satpathy, Anurag (57195936277); Addya, Sourav Kanti (56538204500)</t>
  </si>
  <si>
    <t>57739744300; 57195936277; 56538204500</t>
  </si>
  <si>
    <t>FASE: fast deployment for dependent applications in serverless environments</t>
  </si>
  <si>
    <t>10.1007/s11227-023-05840-w</t>
  </si>
  <si>
    <t>Function-as-a-service has reduced the user burden by allowing cloud service providers to overtake operational activities such as resource allocation, service deployment, auto-scaling, and load-balancing, to name a few. The users are only responsible for developing the business logic through event-triggered functions catering to an application. Although FaaS brings about multiple user benefits, a typical challenge in this context is the time incurred in the environmental setup of the containers on which the functions execute, often referred to as the cold-start time leading to delayed execution and quality-of-service violations. This paper presents an efficient scheduling strategy FASE that uses a finite-sized warm pool to facilitate the instantaneous execution of functions on pre-warmed containers. Test-bed evaluations over AWS Lambda confirm that FASE achieves a 40% reduction in the average cold-start time and 1.29× speedup compared to the baselines. © The Author(s), under exclusive licence to Springer Science+Business Media, LLC, part of Springer Nature 2023.</t>
  </si>
  <si>
    <t>Cold start; Function-as-a-service; Internet of things; Serverless computing</t>
  </si>
  <si>
    <t>Computation theory; Internet of things; Quality of service; Web services; Cloud service providers; Cold-start; Fast deployments; Function-as-a-service; Load-Balancing; Operational activity; Resources allocation; Scalings; Serverless computing; Service deployment; Containers</t>
  </si>
  <si>
    <t>2-s2.0-85180489673</t>
  </si>
  <si>
    <t>Kumari A.; Sahoo B.</t>
  </si>
  <si>
    <t>Kumari, Anisha (57217383661); Sahoo, Bibhudatta (7003533401)</t>
  </si>
  <si>
    <t>57217383661; 7003533401</t>
  </si>
  <si>
    <t>ACPM: adaptive container provisioning model to mitigate serverless cold-start</t>
  </si>
  <si>
    <t>10.1007/s10586-023-04016-8</t>
  </si>
  <si>
    <t>In recent years, serverless computing has emerged as a new cloud service model that provides an elegant computing framework for application development. It allows developers to focus solely on application logic without having to worry about the underlying infrastructure or execution environment. One of the most attractive features of serverless computing is scale-to-zero, where function instances are immediately released as soon as they complete their execution. This makes the computing model more cost-effective. However, when a new function request arrives, a container must be prepared from scratch, including initialization, configuration, and loading of required libraries and packages. This requires additional startup time, also known as cold-start delay, which can degrade the performance of the computing framework. This paper proposes an integrated model, called adaptive container provisioning model (ACPM), to reduce cold-start latency through runtime provisioning of containers. ACPM promises to reduce the frequency of cold-starts and delay due to cold-start, improving the overall performance of serverless execution. It consists of two phases. In the first phase, an efficient deep learning model, such as long short term memory (LSTM), is used to predict the required number of pre-warmed containers in advance, which can be served as soon as the function request arrives. This phase is integrated with a container placement module for faster delivery of a container to minimize the frequency of cold-start delay. The second phase is based on a sandboxing mechanism where groups of similar functions can be placed in a single container instead of creating a separate container for each incoming request. ACPM drastically reduces cold-start delay and improves overall performance. The effectiveness of ACPM has been extensively compared with standard approaches such as container-sharing, container-reuse, pre-warming, restore-based, etc. From the experiment, it can be observed that ACPM outperforms other existing models in reducing cold-start latency. © The Author(s), under exclusive licence to Springer Science+Business Media, LLC, part of Springer Nature 2023.</t>
  </si>
  <si>
    <t>Cloud computing; Cold start; Container scheduling; Function-as-a-Service; Serverless computing</t>
  </si>
  <si>
    <t>Cloud computing; Computation theory; Cost effectiveness; Long short-term memory; Application development; Application logic; Cloud service models; Cloud-computing; Cold-start; Computing frameworks; Container scheduling; Function-as-a-service; Performance; Serverless computing; Containers</t>
  </si>
  <si>
    <t>2-s2.0-85159139522</t>
  </si>
  <si>
    <t>Mirampalli S.; Wankar R.; Srirama S.N.</t>
  </si>
  <si>
    <t>Mirampalli, Sreenivasu (57547005600); Wankar, Rajeev (23502558500); Srirama, Satish Narayana (14632859900)</t>
  </si>
  <si>
    <t>57547005600; 23502558500; 14632859900</t>
  </si>
  <si>
    <t>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 © 2023 Elsevier B.V.</t>
  </si>
  <si>
    <t>Data pipeline; Fog computing; IoT; Object detection; Serverless computing</t>
  </si>
  <si>
    <t>Data handling; Fog; Fog computing; Internet of things; Object recognition; Pipeline processing systems; Pipelines; Computing environments; Data pipelines; Data transferring; Internet of things technologies; Layer data; Local environments; Multi-layers; Objects detection; Security issues; Serverless computing; Object detection</t>
  </si>
  <si>
    <t>2-s2.0-85172887747</t>
  </si>
  <si>
    <t>Jiang J.; Gan S.; Du B.; Alonso G.; Klimovic A.; Singla A.; Wu W.; Wang S.; Zhang C.</t>
  </si>
  <si>
    <t>Jiang, Jiawei (57194610451); Gan, Shaoduo (57190033149); Du, Bo (57217375214); Alonso, Gustavo (7102787521); Klimovic, Ana (56039431800); Singla, Ankit (37007019000); Wu, Wentao (55818445600); Wang, Sheng (58852920500); Zhang, Ce (58502033600)</t>
  </si>
  <si>
    <t>57194610451; 57190033149; 57217375214; 7102787521; 56039431800; 37007019000; 55818445600; 58852920500; 58502033600</t>
  </si>
  <si>
    <t>A systematic evaluation of machine learning on serverless infrastructure</t>
  </si>
  <si>
    <t>10.1007/s00778-023-00813-0</t>
  </si>
  <si>
    <t>Recently, the serverless paradigm of computing has inspired research on its applicability to data-intensive tasks such as ETL, database query processing, and machine learning (ML) model training. Recent efforts have proposed multiple systems for training large-scale ML models in a distributed manner on top of serverless infrastructures (e.g., AWS Lambda). Yet, there is so far no consensus on the design space for such systems when compared with systems built on top of classical “serverful” infrastructures. Indeed, a variety of factors could impact the performance of training ML models in a distributed environment, such as the optimization algorithm used and the synchronization protocol followed by parallel executors, which must be carefully considered when designing serverless ML systems. To clarify contradictory observations from previous work, in this paper we present a systematic comparative study of serverless and serverful systems for distributed ML training. We present a design space that covers design choices made by previous systems on aspects such as optimization algorithms and synchronization protocols. We then implement a platform, LambdaML, that enables a fair comparison between serverless and serverful systems by navigating the aforementioned design space. We further improve LambdaML toward automatic support by designing a hyper-parameter tuning framework that leverages the ability of serverless infrastructure. We present empirical evaluation results using LambdaML on both single training jobs and multi-tenant workloads. Our results reveal that there is no “one size fits all” serverless solution given the current state of the art—one must choose different designs for different ML workloads. We also develop an analytic model based on the empirical observations to capture the cost/performance tradeoffs that one has to consider when deciding between serverless and serverful designs for distributed ML training. © The Author(s), under exclusive licence to Springer-Verlag GmbH Germany, part of Springer Nature 2023.</t>
  </si>
  <si>
    <t>Distributed machine learning; Serverless computing</t>
  </si>
  <si>
    <t>Optimization; Query processing; Search engines; Data intensive; Database query processing; Design spaces; Distributed machine learning; Machine learning models; Machine-learning; Optimization algorithms; Serverless computing; Synchronization protocols; Systematic evaluation; Machine learning</t>
  </si>
  <si>
    <t>2-s2.0-85171598407</t>
  </si>
  <si>
    <t>Gaber S.; Alenezi M.</t>
  </si>
  <si>
    <t>Gaber, Suliman (59492048000); Alenezi, Mamdouh (55854089000)</t>
  </si>
  <si>
    <t>59492048000; 55854089000</t>
  </si>
  <si>
    <t>Transforming Application Development With Serverless Computing</t>
  </si>
  <si>
    <t>International Journal of Cloud Applications and Computing</t>
  </si>
  <si>
    <t>10.4018/IJCAC.365288</t>
  </si>
  <si>
    <t>In serverless computing, the developer relinquishes the management of resources to the cloud provider while focusing on improving the application logic and coding. Due to the immense benefits associated with this approach, it has recently attracted the attention of both industry and academy practitioners. Hence, this article explores the transformative impact of serverless computing on the various stages of application development, including design, development, testing, deployment, and maintenance. By examining the specific ways in which serverless computing transforms each stage, the authors uncover the advantages and benefits of using this emerging technology. The research shows that serverless computing accelerates the development lifecycle of applications as compared to traditional server-based architectures. In addition, this study provides valuable insights into the ways in which developers can leverage serverless computing to improve their workflows and productivity. © 2024 IGI Global. All rights reserved.</t>
  </si>
  <si>
    <t>Acceleration; Application Development; Development Lifecycle; Productivity; Serverless Computing</t>
  </si>
  <si>
    <t>2-s2.0-85213465219</t>
  </si>
  <si>
    <t>Karim S.; Qureshi K.N.; Ibrahim A.O.; Abulfaraj A.W.; Ghafoor K.Z.</t>
  </si>
  <si>
    <t>Karim, Seemab (59163382300); Qureshi, Kashif Naseer (55781386200); Ibrahim, Ashraf Osman (55858232900); Abulfaraj, Anas W. (57218311982); Ghafoor, Kayhan Zrar (37013106700)</t>
  </si>
  <si>
    <t>59163382300; 55781386200; 55858232900; 57218311982; 37013106700</t>
  </si>
  <si>
    <t>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 © 2024 The Author(s)</t>
  </si>
  <si>
    <t>Cluster; Energy; High speed; Networks; Routing; Scalability; Serverless</t>
  </si>
  <si>
    <t>2-s2.0-85195378421</t>
  </si>
  <si>
    <t>Dehury C.K.; Poojara S.; Srirama S.N.</t>
  </si>
  <si>
    <t>Dehury, Chinmaya Kumar (57190092027); Poojara, Shivananda (56126398800); Srirama, Satish Narayana (14632859900)</t>
  </si>
  <si>
    <t>57190092027; 56126398800; 14632859900</t>
  </si>
  <si>
    <t>Modern cloud applications are composed of tens of thousands of environment-agnostic serverless functions that can be deployed in either a fog or cloud environment. The key to sustaining fog computing is to offload the maximum amounts of computation to the cloud, and accommodate as many users as possible without compromising quality of service (QoS). However, recent research mainly focuses on assigning maximum resources to serverless applications from the fog node and not taking full advantage of the cloud environment, leading to a lack of sustainability in fog computing. As a way to fill this research gap, we explored what percentage of a user's request should be handled by fog and cloud. As a result, we proposed Def-DReL, a Systematic Deployment of Serverless Functions in Fog and Cloud environments using Deep Reinforcement Learning, by taking into account several real-life parameters, including distance from a nearby fog node and latency, priority of the user, priority of serverless applications, and resource usage. Def-DReL's performance is further compared with that of recent related algorithms. Simulation and comparison results clearly demonstrate a lesser number of serverless functions from each user (with approximately 10% improvement) being deployed in the fog node, resulting in accommodating limited fog resources to more number of users. The other simulation results show its superiority over other algorithms as well as its applicability to real-life scenarios. © 2023 Elsevier B.V.</t>
  </si>
  <si>
    <t>Cloud computing; Deep reinforcement learning; Fog computing; Function offloading; Serverless computing; Serverless function deployment</t>
  </si>
  <si>
    <t>Computation offloading; Deep learning; Fog; Fog computing; Quality of service; Sustainable development; Cloud applications; Cloud environments; Cloud-computing; Deep reinforcement learning; Deployment strategy; Function offloading; Quality-of-service; Reinforcement learnings; Serverless computing; Serverless function deployment; Reinforcement learning</t>
  </si>
  <si>
    <t>2-s2.0-85181967644</t>
  </si>
  <si>
    <t>Eizaguirre G.T.; Sánchez-Artigas M.</t>
  </si>
  <si>
    <t>Eizaguirre, Germán T. (57221861497); Sánchez-Artigas, Marc (10939155200)</t>
  </si>
  <si>
    <t>57221861497; 10939155200</t>
  </si>
  <si>
    <t>Serverless platforms offer high resource elasticity and pay-as-you-go billing, making them a compelling choice for data analytics. To craft a “pure” serverless solution, the common practice is to transfer intermediate data between serverless functions via serverless object storage (IBM COS; AWS S3). However, prior works have led to inconclusive results about the performance of object storage systems, since they have left large margin for optimization. To verify that object storage has been underrated, we devise a novel shuffle manager for serverless data analytics called SEER. Specifically, SEER dynamically chooses between two shuffle algorithms to maximize performance. The algorithm choice is made online based on some predictive models, and very importantly, without end users having to specify intermediate shuffle data sizes at the time of the job submission. We integrate SEER with PyWren-IBM [31], a well-known serverless analytics framework, and evaluate it against both serverful (e.g., Spark) and serverless systems (e.g., Google BigQuery, Caerus [46] and SONIC [22]). Our results certify that our new shuffle manager can deliver performance improvements over them. © 2023 The Authors</t>
  </si>
  <si>
    <t>I/O optimization; Object storage; Serverless computing; Shuffle</t>
  </si>
  <si>
    <t>Cobalt compounds; Digital storage; Predictive analytics; Data analytics; I/O optimization; Large margins; Object storage systems; Object storages; Optimisations; Pay as you go; Performance; Serverless computing; Shuffle; Data Analytics</t>
  </si>
  <si>
    <t>2-s2.0-85172296893</t>
  </si>
  <si>
    <t>Gimeno Sarroca P.; Sánchez-Artigas M.</t>
  </si>
  <si>
    <t>Gimeno Sarroca, Pablo (58619766300); Sánchez-Artigas, Marc (10939155200)</t>
  </si>
  <si>
    <t>58619766300; 10939155200</t>
  </si>
  <si>
    <t>MLLESS: Achieving cost efficiency in serverless machine learning training</t>
  </si>
  <si>
    <t>Function-as-a-Service (FaaS) has raised a growing interest in how to “tame” serverless computing to enable domain-specific use cases such as data-intensive applications and machine learning (ML), to name a few. Recently, several systems have been implemented for training ML models. Certainly, these research articles are significant steps in the correct direction. However, they do not completely answer the nagging question of when serverless ML training can be more cost-effective compared to traditional “serverful” computing. To help in this endeavor, we propose MLLESS, a FaaS-based ML training prototype built atop IBM Cloud Functions. To boost cost-efficiency, MLLESS implements two innovative optimizations tailored to the traits of serverless computing: on one hand, a significance filter, to make indirect communication more effective, and on the other hand, a scale-in auto-tuner, to reduce cost by benefiting from the FaaS sub-second billing model (often per 100 ms). Our results certify that MLLESS can be 15X faster than serverful ML systems [27] at a lower cost for sparse ML models that exhibit fast convergence such as sparse logistic regression and matrix factorization. Furthermore, our results show that MLLESS can easily scale out to increasingly large fleets of serverless workers. © 2023 The Author(s)</t>
  </si>
  <si>
    <t>Function-as-a-Service; Machine learning; Serverless computing</t>
  </si>
  <si>
    <t>Efficiency; Factorization; Machine learning; Cost effective; Cost-efficiency; Data-intensive application; Domain specific; Function-as-a-service; Machine learning models; Machine-learning; Serverless computing; Service-based; Training machines; Cost effectiveness</t>
  </si>
  <si>
    <t>2-s2.0-85172305154</t>
  </si>
  <si>
    <t>Li Y.; Yang C.</t>
  </si>
  <si>
    <t>Li, Yunqi (58558888500); Yang, Changlin (55939986000)</t>
  </si>
  <si>
    <t>58558888500; 55939986000</t>
  </si>
  <si>
    <t>Resource Allocation and Pricing in Energy Harvesting Serverless Computing Internet of Things Networks</t>
  </si>
  <si>
    <t>Information (Switzerland)</t>
  </si>
  <si>
    <t>10.3390/info15050250</t>
  </si>
  <si>
    <t>This paper considers a resource allocation problem involving servers and mobile users (MUs) operating in a serverless edge computing (SEC)-enabled Internet of Things (IoT) network. Each MU has a fixed budget, and each server is powered by the grid and has energy harvesting (EH) capability. Our objective is to maximize the revenue of the operator that operates the said servers and the number of resources purchased by the MUs. We propose a Stackelberg game approach, where servers and MUs act as leaders and followers, respectively. We prove the existence of a Stackelberg game equilibrium and develop an iterative algorithm to determine the final game equilibrium price. Simulation results show that the proposed scheme is efficient in terms of the SEC’s profit and MU’s demand. Moreover, both MUs and SECs gain benefits from renewable energy. © 2024 by the authors.</t>
  </si>
  <si>
    <t>edge computing; energy management; game theory; resource allocation</t>
  </si>
  <si>
    <t>Budget control; Computation theory; Computer games; Costs; Economics; Edge computing; Energy harvesting; Energy management; Game theory; Internet of things; Iterative methods; Edge computing; Fixed budget; Game approach; Game equilibrium; Iterative algorithm; Mobile users; Resource allocation problem; Resource pricing; Resources allocation; Stackelberg Games; Resource allocation</t>
  </si>
  <si>
    <t>2-s2.0-85193957043</t>
  </si>
  <si>
    <t>Bari M.A.; Rajgopal A.R.N.; Swetha P.</t>
  </si>
  <si>
    <t>Bari, Mohammed Abdul (57194341625); Rajgopal, Arul Raj Natraj (58768072800); Swetha, P. (59696577000)</t>
  </si>
  <si>
    <t>57194341625; 58768072800; 59696577000</t>
  </si>
  <si>
    <t>Analysing AWS DevOps CI/CD Serverless Pipeline Lambda Function's Throughput in Relation to Other Solution</t>
  </si>
  <si>
    <t>International Journal of Intelligent Systems and Applications in Engineering</t>
  </si>
  <si>
    <t>DevOps is basically a Software engineering practice, which helps developers collaborate with various teams such as QA, Build &amp; Release Engineering, and IT Teams (Security, Infra, and Operations) to help deliver a quality product continuously. Generally, in any DevOps framework, developers and IT teams collaborate with various teams such as quality control, security, and support as stated above, whose goal is to have a collaborative and cooperative effort to deliver code rapidly, in a seamless loop of continuous integration and continuous delivery (CI/CD) enabled by Continuous testing and Continuous Monitoring (CT/CM).We have seen tremendous growth in DevOps toolchains and Cloud providers in recent times and one such toolchain is AWS DevOps offered by AWS cloud service provider which is one of the most popular services in the market today. However, the transformation of traditional processes and infrastructure from typical On-Premises to the Cloud is not easy, but AWS DevOps offers Speed, Stability, Quality, and Security which also makes the transition for an organization easy to Adapt, Execution of commands in a CI/CD pipeline is handled by a runner, application, which can be configured in different ways allowing for different levels of the quality attributes performance like throughput. In this paper we are going to is about creating a seamless pipeline of e2e CI/CD pipeline using AWS DevOps services such as CodeCommit, CodeBuild, CodePipeline, CodeDeploy, and other services as needed, check its throughput against that of other machines. © 2024, Ismail Saritas. All rights reserved.</t>
  </si>
  <si>
    <t>Aws; Cloud Computing; DevOps</t>
  </si>
  <si>
    <t>2-s2.0-85179942262</t>
  </si>
  <si>
    <t>Nguyen T.N.</t>
  </si>
  <si>
    <t>Nguyen, Tam n. (57206675364)</t>
  </si>
  <si>
    <t>Serverless computing is the most innovative and affordable cloud service model that improves three strategic business objectives: flexibility, efficiency, and innovation. Compared to monolithic applications, serverless computing applications scale better as the applications are further broken down into small building blocks of functions. Resources are assigned per function and can scale up as function requests increase. Hence, serverless computing has been increasingly employed in high-impact areas such as banking and health care. An issue affecting serverless computing's performance is cold-start — the delays in assigning resources for function execution. Such delays can violate the Service Level Agreements especially those of time-sensitive applications. Current cold-start management policies operate in silos with narrow focuses on function, application, runtime, or infrastructure levels. Such policies do not incorporate higher-level requirements like those in the Service Level Agreements. Additionally, operating in silos does not follow the principle of continuous feedback loops among management policies at different system levels, which is essential for AI-driven self-adaptive future computing systems. Therefore, this paper proposes a novel 2-prong cold-start management policy that allows feedback loops with other higher management policies and orchestrates lower-level cold-start optimization policies. The main policy driver is the temporal convolutional network (TCN) model that can predict function instance arrivals from 5 to 15 min into the future. Evaluation strategies were proposed for both the TCN model and the management policy. Evaluation results show that the TCN model performs reliably across two trace datasets from leading serverless computing providers. Notably, the proposed cold-start policy evaluation plan allows organizations to realistically evaluate their cold-start management in ways that have never been done before. © 2023</t>
  </si>
  <si>
    <t>Cloud computing; Cold start; Deep learning; Self-adaptive systems; Serverless computing</t>
  </si>
  <si>
    <t>Adaptive systems; Deep learning; Function evaluation; Quality of service; Cloud-computing; Cold-start; Convolutional networks; Deep learning; Feedback loops; Management policy; Network models; Self-adaptive system; Serverless computing; Servicelevel agreement (SLA); Feedback</t>
  </si>
  <si>
    <t>2-s2.0-85180371713</t>
  </si>
  <si>
    <t>Zhang H.; Wang J.; Zhang H.; Bu C.</t>
  </si>
  <si>
    <t>Zhang, Hang (58643809100); Wang, Jinsong (55961796000); Zhang, Hongwei (57195922267); Bu, Chao (57094714300)</t>
  </si>
  <si>
    <t>58643809100; 55961796000; 57195922267; 57094714300</t>
  </si>
  <si>
    <t>Handling computationally intensive tasks is challenging for user devices (UDs) with limited computing resources. Serverless cloud edge computing solves this problem and reduces maintenance and management. Its crucial function is to allocate computing resources reasonably. However, linking multiple computing resource nodes to perform computing resource allocation and ensure data security is a significant challenge. This study proposes an approach based on action-constrained deep reinforcement learning (DRL) to allocate computing resources securely. First, we consider a model of a serverless multi-cloud edge computing network with multiple computing resource nodes that possess various attribute characteristics. Then, we design a security mechanism to guarantee data security. Afterward, we formalize the network model and objectives and further transform them into a modeling process known as the Markov decision process. Finally, we propose DRL based on action constraints to provide an optimal resource allocation scheduling policy. Simulation results demonstrate that our approach can reduce system costs and improve working performance compared with the comparison schemes. © 2023 Elsevier B.V.</t>
  </si>
  <si>
    <t>Deep reinforcement learning; Resource allocation; Serverless cloud edge computing</t>
  </si>
  <si>
    <t>Deep learning; Edge computing; Markov processes; Network security; Reinforcement learning; Computing resource; Crucial functions; Deep reinforcement learning; Edge computing; Multi-clouds; Reinforcement learnings; Resource nodes; Resources allocation; Serverless cloud edge computing; User devices; Resource allocation</t>
  </si>
  <si>
    <t>2-s2.0-85174030554</t>
  </si>
  <si>
    <t>Nguyen H.T.; Usman M.; Buyya R.</t>
  </si>
  <si>
    <t>Nguyen, Hoa T. (58127170500); Usman, Muhammad (56559567800); Buyya, Rajkumar (57194845546)</t>
  </si>
  <si>
    <t>58127170500; 56559567800; 57194845546</t>
  </si>
  <si>
    <t>Lu X.; Li N.; Yuan L.; Zhang J.</t>
  </si>
  <si>
    <t>Lu, Xinxi (57216375791); Li, Nan (57447285100); Yuan, Lijuan (58074146600); Zhang, Juan (57217685849)</t>
  </si>
  <si>
    <t>57216375791; 57447285100; 58074146600; 57217685849</t>
  </si>
  <si>
    <t>Enhancing Resource Utilization Efficiency in Serverless Education: A Stateful Approach with Rofuse</t>
  </si>
  <si>
    <t>10.3390/electronics13112168</t>
  </si>
  <si>
    <t>Traditional container orchestration platforms often suffer from resource wastage in educational settings, and stateless serverless services face challenges in maintaining container state persistence during the teaching process. To address these issues, we propose a stateful serverless mechanism based on Containerd and Kubernetes, focusing on optimizing the startup process for container groups. We first implement a checkpoint/restore framework for container states, providing fundamental support for managing stateful containers. Building on this foundation, we propose the concept of “container groups” to address the challenges in educational practice scenarios characterized by a large number of similar containers on the same node. We then propose the Rofuse optimization mechanism, which employs delayed loading and block-level deduplication techniques. This enables containers within the same group to reuse locally cached file system data at the block level, thus reducing container restart latency. Experimental results demonstrate that our stateful serverless mechanism can run smoothly in typical educational practice scenarios, and Rofuse reduces the container restart time by approximately 50% compared to existing solutions. This research provides valuable exploration for serverless practices in the education domain, contributing new perspectives and methods to improve resource utilization efficiency and flexibility in teaching environments. © 2024 by the authors.</t>
  </si>
  <si>
    <t>cloud-native; Kubernetes; serverless education</t>
  </si>
  <si>
    <t>2-s2.0-85195829719</t>
  </si>
  <si>
    <t>Gill S.S.</t>
  </si>
  <si>
    <t>Gill, Sukhpal Singh (57216940144)</t>
  </si>
  <si>
    <t>Quantum and blockchain based Serverless edge computing: A vision, model, new trends and future directions</t>
  </si>
  <si>
    <t>10.1002/itl2.275</t>
  </si>
  <si>
    <t>Serverless computing has become an important cloud model delivering service to users based on the amount of resources consumed by the Internet of Things (IoT) applications. Edge computing can be utilized for Serverless computing to process small or deadline oriented jobs efficiently at edge devices helping to reduce latency. Furthermore, security and computation speed have become important challenges for Serverless edge computing. Blockchain and Quantum computing can be used to provide secure and reliable edge Serverless service while also improving security and computation speed respectively. This letter identifies and integrates various emerging paradigms to develop a conceptual model for Quantum and Blockchain based Serverless edge computing. Promising future research directions and open challenges are also discussed. © 2021 John Wiley &amp; Sons, Ltd.</t>
  </si>
  <si>
    <t>artificial intelligence; blockchain; edge computing; Internet of Things; quantum computing; Serverless</t>
  </si>
  <si>
    <t>Blockchain; Internet of things; Quantum cryptography; Block-chain; Cloud modeling; Computation speed; Conceptual model; Edge computing; Future research directions; Quantum Computing; Serverless; Vision model; Edge computing</t>
  </si>
  <si>
    <t>2-s2.0-85182812843</t>
  </si>
  <si>
    <t>Czentye J.; Sonkoly B.</t>
  </si>
  <si>
    <t>Czentye, János (55553864000); Sonkoly, Balázs (6505667403)</t>
  </si>
  <si>
    <t>55553864000; 6505667403</t>
  </si>
  <si>
    <t>Serverless computing is a novel cloud computing paradigm enabling flexible, cost-efficient and fine-granular development of cloud-native applications, although without any guarantees on scheduling or execution times. Thus, various high-level solutions have been proposed in recent years to find proper configurations of individual FaaS functions, while considering user-given QoS requirements. However, the ever-increasing complexity of invocation patterns among stateless functions, externalized management of intermediate states, and diverse public cloud resources pose new challenges to the composition of highly data-intensive serverless applications. In this paper, we fill this gap by proposing novel algorithms based on the emerging function fusion technique, along with the related cost/performance models of composite functions supporting implicit instance parallelization and internal state propagation. We prove the NP-completeness of the underlying latency-constrained tree partitioning problem, and design a bicriteria approximation scheme and a greedy heuristic to derive cost-efficient deployment configurations in polynomial time. With the help of extensive simulations using synthetic call graphs generated from public cloud traces, we demonstrate the applicability and superior runtime performance of our proposed methods compared to state-of-the-art solutions. In addition, we showcase that further cost-reduction of up to 3–6 % can be achieved compared to the optimal partitioning with the allowance of tolerable latency violations. © 2023 The Author(s)</t>
  </si>
  <si>
    <t>Cloud native; FaaS; Function fusion; Serverless; Tree partitioning</t>
  </si>
  <si>
    <t>Information management; Polynomial approximation; Quality of service; Trees (mathematics); Application composition; Cloud native; Cost-efficient; Faas; Function fusion; Fusion algorithms; Fusion theory; Public clouds; Serverless; Tree partitioning; Cost reduction</t>
  </si>
  <si>
    <t>2-s2.0-85180772629</t>
  </si>
  <si>
    <t>Quantum computing is rapidly reaching a point in which its application design and engineering aspects must be seriously considered. However, quantum software engineering is still in its infancy, with numerous challenges, especially in dealing with the diversity of quantum programming languages and noisy intermediate-scale quantum (NISQ) systems. To alleviate these challenges, we propose QFaaS, a holistic Quantum Function-as-a-Service framework, which leverages the advantages of the serverless model, DevOps lifecycle, and the state-of-the-art software techniques to advance practical quantum computing for next-generation application development in the NISQ era. Our framework provides essential elements of a serverless quantum system to streamline service-oriented quantum application development in cloud environments, such as combining hybrid quantum–classical computation, automating the backend selection, cold start mitigation, and adapting DevOps techniques. QFaaS offers a full-stack and unified quantum serverless platform by integrating multiple well-known quantum software development kits (Qiskit, Q#, Cirq, and Braket), quantum simulators, and cloud providers (IBM Quantum and Amazon Braket). This paper proposes the concept of quantum function-as-a-service, system design, operation workflows, implementation of QFaaS, and lessons learned on the benefits and limitations of quantum serverless computing. We also present practical use cases with various quantum applications on today's quantum computers and simulators to demonstrate our framework capability to facilitate the ongoing quantum software transition. © 2024 The Author(s)</t>
  </si>
  <si>
    <t>Application programs; Computer software reusability; Quantum computers; Quantum optics; Software design; Classical computing; Cloud-computing; Hybrid quantum-classical computing; Quantum cloud computing; Quantum devops; Quantum function-as-a-service; Quantum functions; Quantum serverless; Quantum software engineering; Quantum-classical; Life cycle</t>
  </si>
  <si>
    <t>2-s2.0-85182735063</t>
  </si>
  <si>
    <t>Zhou N.; Li Y.N.; Mohajer A.</t>
  </si>
  <si>
    <t>Zhou, Nan (59221564000); Li, Ya Nan (59222119700); Mohajer, Amin (55608570700)</t>
  </si>
  <si>
    <t>59221564000; 59222119700; 55608570700</t>
  </si>
  <si>
    <t>Distributed capacity optimisation and resource allocation in heterogeneous mobile networks using advanced serverless connectivity strategies</t>
  </si>
  <si>
    <t>10.1504/IJSNET.2024.139853</t>
  </si>
  <si>
    <t>In response to the increasing complexity and diversity of heterogeneous mobile networks, this paper addresses the challenges posed by the increasing complexity and diversity of heterogeneous mobile networks, which require support for a wide range of applications and services with varying quality-of-service requirements. We proposed a novel approach to enhance network performance and efficiency in which, our methodology integrates artificial intelligence, machine learning, and serverless computing to develop a cognitive mobile network architecture that adapts in real-time to changing conditions. Additionally, we introduce a downlink resource management framework utilising game theory and optimisation algorithms, a hybrid power control and user association algorithm based on reinforcement learning, and a suite of distributed algorithms for intelligent task-offloading. Through extensive simulations and comparisons with existing methods, our approach demonstrates significant improvements in network performance and user satisfaction, achieving up to 25% and 40% reductions in network-wide throughput and energy consumption, respectively. Copyright © 2024 Inderscience Enterprises Ltd.</t>
  </si>
  <si>
    <t>cognitive mobile network architecture; downlink resource management; hybrid power control and user association; intelligent task-offloading; serverless computing; UA</t>
  </si>
  <si>
    <t>Complex networks; Energy utilization; Game theory; Learning algorithms; Mobile telecommunication systems; Natural resources management; Network architecture; Network performance; Power control; Reinforcement learning; Resource allocation; Cognitive mobile network architecture; Downlink resource management; Downlink resources; Hybrid power; Hybrid power control and user association; Intelligent task-offloading; Power users; Power-control; Resource management; Serverless computing; Task offloading; UA; User associations; Wireless networks</t>
  </si>
  <si>
    <t>2-s2.0-85198749121</t>
  </si>
  <si>
    <t>Russo Russo G.; Cardellini V.; Lo Presti F.</t>
  </si>
  <si>
    <t>Russo Russo, Gabriele (57211560923); Cardellini, Valeria (6603463586); Lo Presti, Francesco (6701823377)</t>
  </si>
  <si>
    <t>57211560923; 6603463586; 6701823377</t>
  </si>
  <si>
    <t>Function-as-a-Service (FaaS) has emerged as an evolution of traditional Cloud service models, allowing users to define and execute pieces of codes (i.e., functions) in a serverless manner, with the provider taking care of most operational issues. With the unending growth of resource availability in the Edge-to-Cloud Continuum, there is increasing interest in adopting FaaS near the Edge as well, to better support geo-distributed and pervasive applications. However, as the existing FaaS frameworks have mostly been designed with Cloud in mind, new architectures are necessary to cope with the additional challenges of the Continuum, such as higher heterogeneity, network latencies, limited computing capacity. In this paper, we present an extended version of Serverledge, a FaaS framework designed to span Edge and Cloud computing landscapes. Serverledge relies on a decentralized architecture, where each FaaS node is able to autonomously schedule and execute functions. To take advantage of the computational capacity of the infrastructure, Serverledge nodes also rely on horizontal and vertical function offloading mechanisms. In this work we particularly focus on the design of mechanisms for function offloading and live function migration across nodes. We implement these mechanisms in Serverledge and evaluate their impact and performance considering different scenarios and functions. © 2024 The Authors</t>
  </si>
  <si>
    <t>Edge computing; Migration; Offloading; Serverless</t>
  </si>
  <si>
    <t>Computation offloading; Cloud service models; Distributed applications; Edge clouds; Edge computing; Migration; Offloading; Operational issues; Resource availability; Serverless; Service framework; Network architecture</t>
  </si>
  <si>
    <t>2-s2.0-85187784445</t>
  </si>
  <si>
    <t>In the most popular serverless platform - Knative, dynamic resource allocation is implemented using horizontal auto-scaling algorithms to create or delete service instances based on different monitored metrics. However, the assigned resources for each instance are fixed. Vertical scaling up or down assigned resources per instance is required to avoid over-provisioning resources which are limited at the edge. Hybrid (horizontal and vertical) auto-scaling solutions proposed by existing works have several limitations. These solutions are optimized for separated services and get degraded performance when applied in a normal environment with multiple concurrent services. Further, most methods make significant changes to the original Knative platform, and have not been considered to be adopted since then. In this article, instead of Knative modification, we developed separated Kubernetes operators and custom resources (CRs) that can assist the Knative auto-scaler with optimal hybrid auto-scaling configurations based on traffic prediction. First, we characterize each service with a profile of different assigned resource levels pairing with their optimal target Knative's horizontal scaling request concurrency. Then, based on these profiles, we calculate the best-assigned resources level, target concurrency level, and the number of required instances corresponding to each future time step's predicted traffic. Finally, these configurations are applied to Knative's default auto-scaler and services’ CR. Experiments done on our testbed compared our solution with a Knative hybrid auto-scaler solution that does not consider the service's target request concurrency, and the default Knative horizontal auto-scaler. The results show our solution improvements up to 14% and 20% in terms of resource usage, respectively. © 2023 Elsevier B.V.</t>
  </si>
  <si>
    <t>Edge computing; Horizontal scaling; Quality of service; Resource management; Serverless computing; Vertical scaling</t>
  </si>
  <si>
    <t>Edge computing; Resource allocation; Edge computing; Horizontal scaling; Optimized resources; Quality-of-service; Resource levels; Resource management; Resource usage; Scaling system; Serverless computing; Vertical scaling; Quality of service</t>
  </si>
  <si>
    <t>2-s2.0-85177054703</t>
  </si>
  <si>
    <t>Roy R.B.; Tiwari D.</t>
  </si>
  <si>
    <t>Roy, Rohan Basu (57219249946); Tiwari, Devesh (23467777300)</t>
  </si>
  <si>
    <t>57219249946; 23467777300</t>
  </si>
  <si>
    <t>StarShip: Mitigating I/O bottlenecks in serverless computing for scientific Workflows</t>
  </si>
  <si>
    <t>This work highlights the significance of I/O bottlenecks that data-intensive HPC workflows face in serverless environments - an issue that has been largely overlooked by prior works. To address this challenge, we propose a novel framework, StarShip, which effectively addresses I/O bottlenecks for HPC workflows executing in serverless environments by leveraging different storage options and multi-Tier functions, co-optimizing for service time and service cost. StarShip exploits the Levenberg-Marquardt optimization method to find an effective solution in a large, complex search space. StarShip achieves significantly better performance and cost compared to competing techniques, improving service time by 45% and service cost by 37.6% on average over state-of-The-Art solutions. © 2024 Association for Computing Machinery. All rights reserved.</t>
  </si>
  <si>
    <t>HPC Workflows; I/O Overhead; Serverless Computing</t>
  </si>
  <si>
    <t>Data intensive; HPC workflow; I/O overhead; Multi-tier; Scientific workflows; Serverless computing; Service costs; Service time; Starship; Work-flows; Digital storage</t>
  </si>
  <si>
    <t>2-s2.0-85185888246</t>
  </si>
  <si>
    <t>Wang L.; Liu A.; Xiong N.N.; Zhang S.; Wang T.; Dong M.</t>
  </si>
  <si>
    <t>Wang, Luying (58660096000); Liu, Anfeng (55925848400); Xiong, Neal N. (35231569200); Zhang, Shaobo (35195133200); Wang, Tian (55866537800); Dong, Mianxiong (25822274100)</t>
  </si>
  <si>
    <t>58660096000; 55925848400; 35231569200; 35195133200; 55866537800; 25822274100</t>
  </si>
  <si>
    <t>With the development of serverless computing, developers can implement and deploy business applications as a combination of stateless functions. Although originally proposed for cloud computing, serverless computing is gradually applied to cloud-edge systems for service deployment to provide users with high-quality, low-latency services. However, optimized service deployment in 6G networks is a very challenging issue because of the vast number of deployable devices in the network, and its permutations are highly exponential. In this paper, we propose optimized service deployment schemes for online and offline, respectively, to minimize the overall latency at a lower cost. (1) First, a SD-SRF algorithm based on the greedy algorithm is proposed to optimize the service deployment for a multi-layer edge network, which consists of two phases: SR and SF. (a) Services are deployed in the nearest ancestor devices in the routing tree of all such service requests with the least cost of deployment. (b) When the deployment cost of moving some service replicas to devices in the lower layer is less than the benefit, the service will fall. (2) However, the offline algorithm relies on the availability of prior information heavily, such as request arrival pattern and number, which is difficult to obtain. Therefore, this paper proposes a PPO-MSD algorithm for optimal deployment online, where a Markov decision process (MDP) is modeled. Extensive simulation results show that PPO-MSD outperforms existing algorithms in terms of overall delay and utility, and its performance is close to the optimal ones obtained by SD-SRF, with the SD-SRF and PPO-MSD algorithms reducing the delay on average by 32.40% and 9.91%. © 2023</t>
  </si>
  <si>
    <t>6G networks; Cloud-Edge computing; Intelligent service deployment; Reinforcement learning; Serverless computing</t>
  </si>
  <si>
    <t>Edge computing; Markov processes; Network layers; Queueing networks; 6g network; Business applications; Cloud-computing; Cloud-edge computing; Edge computing; Intelligent service deployment; Intelligent Services; Reinforcement learnings; Serverless computing; Service deployment; Reinforcement learning</t>
  </si>
  <si>
    <t>2-s2.0-85174696740</t>
  </si>
  <si>
    <t>Li M.; Zhang J.; Lin J.; Chen Z.; Zheng X.</t>
  </si>
  <si>
    <t>Li, Ming (57304384900); Zhang, Jianshan (57209746705); Lin, Jingfeng (58624065500); Chen, Zheyi (57210195346); Zheng, Xianghan (55388285300)</t>
  </si>
  <si>
    <t>57304384900; 57209746705; 58624065500; 57210195346; 55388285300</t>
  </si>
  <si>
    <t>FireFace: Leveraging Internal Function Features for Configuration of Functions on Serverless Edge Platforms</t>
  </si>
  <si>
    <t>10.3390/s23187829</t>
  </si>
  <si>
    <t>The emerging serverless computing has become a captivating paradigm for deploying cloud applications, alleviating developers’ concerns about infrastructure resource management by configuring necessary parameters such as latency and memory constraints. Existing resource configuration solutions for cloud-based serverless applications can be broadly classified into modeling based on historical data or a combination of sparse measurements and interpolation/modeling. In pursuit of service response and conserving network bandwidth, platforms have progressively expanded from the traditional cloud to the edge. Compared to cloud platforms, serverless edge platforms often lead to more running overhead due to their limited resources, resulting in undesirable financial costs for developers when using the existing solutions. Meanwhile, it is extremely challenging to handle the heterogeneity of edge platforms, characterized by distinct pricing owing to their varying resource preferences. To tackle these challenges, we propose an adaptive and efficient approach called FireFace, consisting of prediction and decision modules. The prediction module extracts the internal features of all functions within the serverless application and uses this information to predict the execution time of the functions under specific configuration schemes. Based on the prediction module, the decision module analyzes the environment information and uses the Adaptive Particle Swarm Optimization algorithm and Genetic Algorithm Operator (APSO-GA) algorithm to select the most suitable configuration plan for each function, including CPU, memory, and edge platforms. In this way, it is possible to effectively minimize the financial overhead while fulfilling the Service Level Objectives (SLOs). Extensive experimental results show that our prediction model obtains optimal results under all three metrics, and the prediction error rate for real-world serverless applications is in the range of 4.25∼9.51%. Our approach can find the optimal resource configuration scheme for each application, which saves 7.2∼44.8% on average compared to other classic algorithms. Moreover, FireFace exhibits rapid adaptability, efficiently adjusting resource allocation schemes in response to dynamic environments. © 2023 by the authors.</t>
  </si>
  <si>
    <t>configuration optimization; function as a service; serverless computing; SLO</t>
  </si>
  <si>
    <t>Costs; Economics; Genetic algorithms; Particle swarm optimization (PSO); Resource allocation; Cloud applications; Configuration optimization; Decision modules; Function as a service; Infrastructure resources; Internal function; Resource configurations; Resource management; Serverless computing; Service level objective; Forecasting</t>
  </si>
  <si>
    <t>2-s2.0-85172733505</t>
  </si>
  <si>
    <t>Kumari A.; Sahoo B.; Behera R.K.</t>
  </si>
  <si>
    <t>Kumari, Anisha (57217383661); Sahoo, Bibhudatta (7003533401); Behera, Ranjan Kumar (58795826400)</t>
  </si>
  <si>
    <t>57217383661; 7003533401; 58795826400</t>
  </si>
  <si>
    <t>Workflow aware analytical model to predict performance and cost of serverless execution</t>
  </si>
  <si>
    <t>10.1002/cpe.7743</t>
  </si>
  <si>
    <t>Serverless computing has emerged as a powerful deployment model based on the Function-as-a-Service (FaaS) paradigm, where applications are orchestrated through a set of independent functions. The function orchestration within an application can be represented through a serverless workflow, which defines the overall execution plan of the application. To ensure the quality of service for serverless computing platforms, it is essential to develop performance and cost models that can predict the service quality that can be obtained from deploying and executing applications in the cloud platform. While several analytical models have been developed for various cloud deployment frameworks in recent years, there has been a lack of performance and cost analysis models for serverless computing platforms. The existing performance and cost monitoring tools available in serverless frameworks face several challenges, such as complexity, lack of transparency, and incomplete monitoring data. In this paper, we fill the gap by proposing an efficient workflow-based analytical model that can estimate the end-to-end response time and cost of the serverless execution plan. The proposed model can handle complex structures like loop, cycles, self-loop, and parallel substructures that exist in serverless workflows. Additionally, we propose a heuristic optimization algorithm to identify the optimal resource configuration to achieve the optimal response time under a given budget constraint. We evaluated the effectiveness of the proposed model by considering seven serverless applications in both AWS Lambda and Microsoft Azure platforms. We compared the accuracy of the proposed model with the real values of response time and cost obtained in AWS Lambda and Microsoft Azure serverless platforms. The proposed performance and cost model in the AWS Lambda platform has been observed to have an average accuracy of 99.2% and 98.7% respectively. In the Microsoft Azure platform, the average accuracy of the performance and cost model has been observed to be 98.6% and 98.2% respectively. © 2023 John Wiley &amp; Sons, Ltd.</t>
  </si>
  <si>
    <t>AWS lambda; container; cost modeling; function-as-a-service; performance modeling; serverless computing; serverless workflow</t>
  </si>
  <si>
    <t>Budget control; Cost benefit analysis; Optimization; Quality of service; Windows operating system; AWS lambda; Cost models; Function-as-a-service; Lambda's; MicroSoft; Performance and cost models; Performance Modeling; Serverless computing; Serverless workflow; Work-flows; Analytical models</t>
  </si>
  <si>
    <t>2-s2.0-85153487439</t>
  </si>
  <si>
    <t>Zheng S.; Liu B.; Lin W.; Ye X.; Li K.</t>
  </si>
  <si>
    <t>Zheng, Senjiong (58029415400); Liu, Bo (55574234317); Lin, Weiwei (55723146900); Ye, Xiaoying (57989758300); Li, Keqin (7404989623)</t>
  </si>
  <si>
    <t>58029415400; 55574234317; 55723146900; 57989758300; 7404989623</t>
  </si>
  <si>
    <t>Serverless computing offers a promising deployment model for edge IoT applications. However, serverless functions that rely on large libraries suffer from severe library loading latency when containerized, which is unfriendly to edge latency-sensitive applications. Most function offload strategies in edge environments ignore the impact of this latency. We also found that the measures taken by serverless platforms to reduce loading latency may not work in edge environments. To remedy that, this paper proposes a function offloading strategy to minimize loading latency, a new way to deeply integrate placement optimization with cache optimization. In this way, we first design a package caching policy suitable for edge environments based on the consistency of execution topology. Then a Double Layers Dynamic Programming algorithm (DLDP) is proposed to solve the problem of function offloading considering the dependent packages using a multi-stage progressive optimization approach. The caching policy is embedded in the scheduling algorithm through a phased optimization approach to achieve joint optimization. Extensive experiments on the cluster trace from Alibaba show that DLDP reduces the loading latency of packages by more than 97.84% and significantly outperforms four baselines in the application completion time by more than 55.67%. © 2023 Elsevier B.V.</t>
  </si>
  <si>
    <t>Dynamic programming; Scheduling algorithms; Caching policy; Caching strategy; Dependency package awareness; Double layers; Dynamic programming algorithm; Multi-stage optimization; Optimization approach; Package caching strategy; Scheduling strategies; Serverless function offloading; Loading</t>
  </si>
  <si>
    <t>2-s2.0-85149717871</t>
  </si>
  <si>
    <t>Ouyang R.; Wang J.; Xu H.; Chen S.; Xiong X.; Tolba A.; Zhang X.</t>
  </si>
  <si>
    <t>Ouyang, Ruiqi (58188605000); Wang, Jie (57843249700); Xu, Hefeng (58292416700); Chen, Shixiong (58292564400); Xiong, Xuanrui (57216398545); Tolba, Amr (56442428300); Zhang, Xingguo (57213832564)</t>
  </si>
  <si>
    <t>58188605000; 57843249700; 58292416700; 58292564400; 57216398545; 56442428300; 57213832564</t>
  </si>
  <si>
    <t>A Microservice and Serverless Architecture for Secure IoT System</t>
  </si>
  <si>
    <t>10.3390/s23104868</t>
  </si>
  <si>
    <t>In cross-border transactions, the transmission and processing of logistics information directly affect the trading experience and efficiency. The use of Internet of Things (IoT) technology can make this process more intelligent, efficient, and secure. However, most traditional IoT logistics systems are provided by a single logistics company. These independent systems need to withstand high computing loads and network bandwidth when processing large-scale data. Additionally, due to the complex network environment of cross-border transactions, the platform’s information security and system security are difficult to guarantee. To address these challenges, this paper designs and implements an intelligent cross-border logistics system platform that combines serverless architecture and microservice technology. This system can uniformly distribute the services of all logistics companies and divide microservices based on actual business needs. It also studies and designs corresponding Application Programming Interface (API) gateways to solve the interface exposure problem of microservices, thereby ensuring the system’s security. Furthermore, asymmetric encryption technology is used in the serverless architecture to ensure the security of cross-border logistics data. The experiments show that this research solution validates the advantages of combining serverless architecture and microservices, which can significantly reduce the operating costs and system complexity of the platform in cross-border logistics scenarios. It allows for resource expansion and billing based on application program requirements at runtime. The platform can effectively improve the security of cross-border logistics service processes and meet cross-border transaction needs in terms of data security, throughput, and latency. © 2023 by the authors.</t>
  </si>
  <si>
    <t>edge computing; IoT security; microservice; serverless architecture</t>
  </si>
  <si>
    <t>Application programming interfaces (API); Application programs; Complex networks; Computer architecture; Cryptography; Internet of things; Network architecture; Network security; Operating costs; Cross-border; Edge computing; Independent systems; Internet of thing security; Internet of things technologies; Logistics company; Logistics information; Logistics system; Microservice; Serverless architecture; article; bandwidth; encryption; information security; internet of things; Edge computing</t>
  </si>
  <si>
    <t>2-s2.0-85160394089</t>
  </si>
  <si>
    <t>Singh B.; Kaur R.; Woodside M.; Chinneck J.W.</t>
  </si>
  <si>
    <t>Singh, Babneet (58042791000); Kaur, Ravneet (57220161581); Woodside, Murray (57203998004); Chinneck, John W. (7003951510)</t>
  </si>
  <si>
    <t>58042791000; 57220161581; 57203998004; 7003951510</t>
  </si>
  <si>
    <t>Low-power multi-cloud deployment of large distributed service applications with response-time constraints</t>
  </si>
  <si>
    <t>10.1186/s13677-022-00363-w</t>
  </si>
  <si>
    <t>Distributed service applications make heavy use of clouds and multi-clouds, and must (i) meet service quality goals (e.g. response time) while (ii) satisfying cloud resource constraints and (iii) conserving power. Deployment algorithms must (iv) provide a solution meeting these requirements within a short time to be useful in practice. Very few existing deployment methods address the first three requirements, and those that do take too long to find a deployment. The Low-Power Multi-Cloud Application Deployment (LPD) algorithm fills this gap with a low-complexity heuristic combination of generalized graph partitioning between clouds, bin-packing within each cloud and queueing approximations to control the response time. LPD has no known competitor that quickly finds a solution that satisfies response time bounds. A host execution time approximation for contention is fundamental to achieving sufficient solution speed. LPD is intended for use by cloud managers who must simultaneously manage hosts and application deployments and plan capacity to offer services such as Serverless Computing. On 104 test scenarios deploying up to 200 processes with up to 240 replicas (for scaling), LPD always produced a feasible solution within 100 s (within 20 seconds in over three-quarters of cases). Compared to the Mixed Integer Program solution by CPLEX (which took a lot longer and was sometimes not found) LPD solutions gave power consumption equal to MIP in a third of cases and within 6% of MIP in 95% of cases. In 93% of all 104 cases the power consumption is within 20% of an (unachievable) lower bound. LPD is intended as a stand-alone heuristic to meet solution time restrictions, but could easily be adapted for use as a repair mechanism in a Genetic Algorithm. © 2022, The Author(s).</t>
  </si>
  <si>
    <t>Bin-packing; Deployment; Graph-partitioning; Multi-cloud; Optimization; Power-minimization; Services</t>
  </si>
  <si>
    <t>Approximation algorithms; Genetic algorithms; Graph theory; Green computing; Integer programming; Bin packing; Deployment; Distributed service; Graph Partitioning; Low Power; Multi-clouds; Optimisations; Power minimization; Service; Services applications; Electric power utilization</t>
  </si>
  <si>
    <t>2-s2.0-85145596751</t>
  </si>
  <si>
    <t>Kumari A.; Mohapatra A.; Sahoo B.</t>
  </si>
  <si>
    <t>Kumari, Anisha (57217383661); Mohapatra, Ajibesh (58298202900); Sahoo, Bibhudatta (7003533401)</t>
  </si>
  <si>
    <t>57217383661; 58298202900; 7003533401</t>
  </si>
  <si>
    <t>Optimizing performance of serverless application using PanOpticon</t>
  </si>
  <si>
    <t>International Journal of Information Technology (Singapore)</t>
  </si>
  <si>
    <t>10.1007/s41870-023-01325-4</t>
  </si>
  <si>
    <t>Serverless computing is popular due to its pay-as-you-go price, high availability, high scalability, and less resource management strain. When moving business applications to a serverless environment, cloud clients confront real-world difficulties such cost and performance estimates, evaluation, balancing performance and cost to achieve the required quality of service, and restricted financing. The platform’s design influences activation costs. PanOpticon automates the deployment of Function-as-a-service(FaaS) applications across platforms using configurable settings and gives performance measurements for each configuration and platform. In this research, we studied the PanOpticon simulator and improved a serverless parameter i.e. the cold start time using greedy optimization. A cost-performance trade-off analysis was conducted on four serverless applications. © 2023, The Author(s), under exclusive licence to Bharati Vidyapeeth's Institute of Computer Applications and Management.</t>
  </si>
  <si>
    <t>Cloud computing; Cold-start; FaaS; PanOpticon; Performance optimization; Serverless computing</t>
  </si>
  <si>
    <t>2-s2.0-85160831960</t>
  </si>
  <si>
    <t>Luo K.; Ouyang T.; Zhou Z.; Chen X.</t>
  </si>
  <si>
    <t>Luo, Ke (57202433365); Ouyang, Tao (57203869060); Zhou, Zhi (57202115610); Chen, Xu (56877965800)</t>
  </si>
  <si>
    <t>57202433365; 57203869060; 57202115610; 56877965800</t>
  </si>
  <si>
    <t>Serverless computing has gained popularity in edge computing due to its flexible features, including the pay-per-use pricing model, auto-scaling capabilities, and multi-tenancy support. Complex Serverless-based applications typically rely on Serverless workflows (also known as Serverless function orchestration) to express task execution logic, and numerous application- and system-level optimization techniques have been developed for Serverless workflow scheduling. However, there has been limited exploration of optimizing Serverless workflow scheduling in edge computing systems, particularly in high-density, resource-constrained environments such as system-on-chip clusters and single-board-computer clusters. In this work, we discover that existing Serverless workflow scheduling techniques typically assume models with limited expressiveness and cause significant resource contention. To address these issues, we propose modeling Serverless workflows using behavior trees, a novel and fundamentally different approach from existing directed-acyclic-graph- and state machine-based models. Behavior tree-based modeling allows for easy analysis without compromising workflow expressiveness. We further present observations derived from the inherent tree structure of behavior trees for contention-free function collections and awareness of exact and empirical concurrent function invocations. Based on these observations, we introduce BeeFlow, a behavior tree-based Serverless workflow system tailored for resource-constrained edge clusters. Experimental results demonstrate that BeeFlow achieves up to 3.2× speedup in a high-density, resource-constrained edge testbed and 2.5× speedup in a high-profile cloud testbed, compared with the state-of-the-art. BeeFlow also demonstrates superior robustness in scenarios with heavy system workloads. © 2023 Elsevier B.V.</t>
  </si>
  <si>
    <t>Behavior tree; Edge computing; Serverless computing; Serverless workflow; Workflow modeling; Workflow scheduling</t>
  </si>
  <si>
    <t>Computation theory; Constrained optimization; Directed graphs; Edge computing; Testbeds; Trees (mathematics); Behaviour Trees; Edge computing; Modeling and scheduling; Pay-per-use; Serverless computing; Serverless workflow; Tree-based; Work-flows; Workflow models; Workflow scheduling; System-on-chip</t>
  </si>
  <si>
    <t>2-s2.0-85169789099</t>
  </si>
  <si>
    <t>Puliafito C.; Cicconetti C.; Conti M.; Mingozzi E.; Passarella A.</t>
  </si>
  <si>
    <t>Puliafito, Carlo (57196814580); Cicconetti, Claudio (22033885800); Conti, Marco (35301557300); Mingozzi, Enzo (6602669130); Passarella, Andrea (16040663300)</t>
  </si>
  <si>
    <t>57196814580; 22033885800; 35301557300; 6602669130; 16040663300</t>
  </si>
  <si>
    <t>In the world of cloud technologies, serverless computing has now settled as a stable and promising resident. This gives a cloud provider the flexibility to provide its users with both Platform-as-a-Service (PaaS), i.e., the back-end application runs in a dedicated container, or Function-as-a-Service (FaaS), i.e., the back-end logic is offered as elementary functions that are invoked by the client applications. In parallel, edge computing has attracted a significant interest, due its enticing promises of reducing the outbound traffic of telco operators, while at the same time cutting down the user latency. As a result, in the near future, PaaS and FaaS containers are going to cohabit in a versatile computation infrastructure spanning from the far edge up to the cloud. In this paper we propose a mathematical formulation of a resource allocation problem that optimizes the assignment of both types of containers and can be solved efficiently by an edge orchestrator. We evaluate the proposed solution via extensive simulation experiments, which show that our approach, which takes into account the characteristics of PaaS vs. FaaS, provides significant performance benefits compared to less sophisticated strategies, despite its relatively low run-time complexity. © 2023 Elsevier B.V.</t>
  </si>
  <si>
    <t>Distributed computing; Edge computing; FaaS; Function-as-a-service; Micro-services; Stateful functions</t>
  </si>
  <si>
    <t>Containers; Platform as a Service (PaaS); A-stable; Cloud providers; Cloud technologies; Edge computing; Elementary function; Function-as-a-service; Micro services; Remote state; Stateful function; Edge computing</t>
  </si>
  <si>
    <t>2-s2.0-85162875955</t>
  </si>
  <si>
    <t>SoftwareX</t>
  </si>
  <si>
    <t>Metsch T.; Viktorsson M.; Hoban A.; Vitali M.; Iyer R.; Elmroth E.</t>
  </si>
  <si>
    <t>Metsch, Thijs (8392612600); Viktorsson, Magdalena (58148867400); Hoban, Adrian (58148439100); Vitali, Monica (42662409700); Iyer, Ravi (17434769300); Elmroth, Erik (6603647425)</t>
  </si>
  <si>
    <t>8392612600; 58148867400; 58148439100; 42662409700; 17434769300; 6603647425</t>
  </si>
  <si>
    <t>Intent-Driven Orchestration: Enforcing Service Level Objectives for Cloud Native Deployments</t>
  </si>
  <si>
    <t>10.1007/s42979-023-01698-0</t>
  </si>
  <si>
    <t>The introduction of microservices and functions using serverless deployment styles for cloud-native applications will trigger a shift in the orchestration paradigm towards an intent-driven model. In this model we shift from imperatively declaring an object’s state to the declaration of a set of desired intents. Intent-driven orchestration (IDO) enables the management of applications through their service level objectives (SLOs) while minimizing service owner and administrator overhead. By enabling service owners to express the desired target key performance indicator (KPI) objectives for their service components instead of declaratively defining the required state and resources, we enable ease of use and abstraction from underlying platforms. By adding a planning component to a Kubernetes-based orchestration stack, the feasibility of translating service objectives into actionable decisions is demonstrated. As this new architecture component introduces more autonomy in the control plane, a means to evaluate the results of planning is defined. © 2023, The Author(s), under exclusive licence to Springer Nature Singapore Pte Ltd.</t>
  </si>
  <si>
    <t>Key performance indicator; Resource orchestration; Service deployment planner; Service level objectives; Service orchestration</t>
  </si>
  <si>
    <t>2-s2.0-85150462132</t>
  </si>
  <si>
    <t>Eskandani N.; Salvaneschi G.</t>
  </si>
  <si>
    <t>Eskandani, Nafise (57212475750); Salvaneschi, Guido (35867883400)</t>
  </si>
  <si>
    <t>57212475750; 35867883400</t>
  </si>
  <si>
    <t>Since its introduction in 2014 by Amazon, the Function as a Service (FaaS) model of serverless computing has set the expectation to fulfill the promise of on-demand, pay-as-you-go, infrastructure-independent processing, originally formulated by cloud computing. Yet, serverless applications are fundamentally different than traditional service-oriented software in that they pose specific performance (e.g., cold start), design (e.g., stateless), and development challenges (e.g., debugging). A growing number of cloud solutions have been continuously attempting to address each of these challenges as a result of the increasing popularity of FaaS. Yet, the characteristics of this model have been poorly understood; therefore, the challenges are poorly tackled. In this paper, we assess the state of FaaS in open-source community with a study on almost 2K real-world serverless applications. Our results show a jeopardized ecosystem, where, despite the hype of serverless solutions in the last years, a number of challenges remain untackled, especially concerning component reuse, support for software development, and flexibility among different platforms — resulting in arguably slow adoption of the FaaS model. We believe that addressing the issues discussed in this paper may help researchers shaping the next generation of cloud computing models. © 2022 Elsevier Inc.</t>
  </si>
  <si>
    <t>Cloud computing; FaaS; Serverless</t>
  </si>
  <si>
    <t>Application programs; Computer software reusability; Open source software; Open systems; Program debugging; Software design; Cloud-computing; Function as a service; On demands; Open source communities; Pay as you go; Performance; Serverless; Service modeling; Service-oriented softwares; Traditional services; Cloud computing</t>
  </si>
  <si>
    <t>2-s2.0-85144619088</t>
  </si>
  <si>
    <t>Sethi B.; Addya S.K.; Bhutada J.; Ghosh S.K.</t>
  </si>
  <si>
    <t>Sethi, Biswajeet (58046131200); Addya, Sourav Kanti (56538204500); Bhutada, Jay (58124964600); Ghosh, Soumya K. (24080140200)</t>
  </si>
  <si>
    <t>58046131200; 56538204500; 58124964600; 24080140200</t>
  </si>
  <si>
    <t>Shipping code towards data in an inter-region serverless environment to leverage latency</t>
  </si>
  <si>
    <t>10.1007/s11227-023-05104-7</t>
  </si>
  <si>
    <t>Serverless computing emerges as a new standard to build cloud applications, where developers write compact functions that respond to events in the cloud infrastructure. Several cloud service industries started adopting serverless for deploying their applications. But one key limitation in serverless computing is that it disregards the significance of data. In the age of big data, when applications run around a huge volume, to transfer data from the data side to the computation side to co-allocate the data and code, leads to high latency. All existing serverless architectures are based on the data shipping architecture. In this paper, we present an inter-region code shipping architecture for serverless, that enables the code to flow from computation side to the data side where the size of the code is negligible compared to the data size. We tested our proposed architecture over a real-time cloud platform Amazon Web Services with the integration of the Fission serverless tool. The evaluation of the proposed code shipping architecture shows for a data file size of 64 MB, the latency in the proposed code shipping architecture is 8.36 ms and in existing data shipped architecture is found to be 16.8 ms. Hence, the proposed architecture achieves a speedup of 2x on the round latency for high data sizes in a serverless environment. We define round latency to be the duration to read and write back the data in the storage. © 2023, The Author(s), under exclusive licence to Springer Science+Business Media, LLC, part of Springer Nature.</t>
  </si>
  <si>
    <t>Cloud computing; Cloud storage; Function; Latency; Serverless computing</t>
  </si>
  <si>
    <t>Cloud storage; Codes (symbols); Distributed database systems; Ships; Web services; Cloud applications; Cloud infrastructures; Cloud storages; Cloud-computing; Code shipping; Compact functions; Data size; Latency; Proposed architectures; Serverless computing; Architecture</t>
  </si>
  <si>
    <t>2-s2.0-85149258960</t>
  </si>
  <si>
    <t>Bocci A.; Forti S.; Ferrari G.-L.; Brogi A.</t>
  </si>
  <si>
    <t>Bocci, Alessandro (57222340356); Forti, Stefano (57195946378); Ferrari, Gian-Luigi (56221627000); Brogi, Antonio (57193752782)</t>
  </si>
  <si>
    <t>57222340356; 57195946378; 56221627000; 57193752782</t>
  </si>
  <si>
    <t>Declarative Secure Placement of FaaS Orchestrations in the Cloud-Edge Continuum</t>
  </si>
  <si>
    <t>10.3390/electronics12061332</t>
  </si>
  <si>
    <t>The decision-making related to the placement of applications made from orchestrated serverless functions onto Cloud-Edge infrastructures is a challenging problem as it must consider functional and non-functional requirements. In this article, we propose a novel declarative methodology to determine the placement of FaaS orchestration onto Cloud-Edge resources while satisfying all the requirements of the FaaS orchestrations and relying on information-flow analyses and padding techniques to prevent information leaks through side channels. A motivating example from Augmented Reality is used to showcase the open-source declarative prototype implementing our proposal. Besides, the prototype is assessed via simulation to evaluate execution times, placement success rates and energy consumption. © 2023 by the authors.</t>
  </si>
  <si>
    <t>data confidentiality; declarative programming; function-as-a-service; information-flow security; orchestration placement</t>
  </si>
  <si>
    <t>2-s2.0-85152710701</t>
  </si>
  <si>
    <t>Jain R.; Sharma N.</t>
  </si>
  <si>
    <t>Jain, Richa (57661155600); Sharma, Neelam (35146616100)</t>
  </si>
  <si>
    <t>57661155600; 35146616100</t>
  </si>
  <si>
    <t>A quantum inspired hybrid SSA–GWO algorithm for SLA based task scheduling to improve QoS parameter in cloud computing</t>
  </si>
  <si>
    <t>10.1007/s10586-022-03740-x</t>
  </si>
  <si>
    <t>Software as a service (SaaS) provider hires resources from an Infrastructure as a Service (IaaS) provider and provides these sharable resources to user's applications on lease. However, it is becoming a more challenging issue for SaaS providers to meet user's Quality of Service (QoS) Parameter and maximize profit from cloud infrastructure. This proposed work satisfies both the user and the service provider by fulfilling service level agreement (SLA), user's QoS requirement, and increasing profit with efficient resources utilization. This paper proposes an Improved Quantum Salp Swarm Algorithm (IQSSA), which improves the Salp Swarm algorithm by incorporating the principles of Quantum computing to increase the convergence rate. Further, Quantum-inspired Salp Swarm Grey Wolf Algorithm (QSSGWA) embeds SSA with Grey Wolf Optimizer (GWO) to improve the global optimum solution, and quantum operator is used to initializing population. Proposed algorithms execute tasks under the user-defined deadline and budget constraints. Furthermore, the penalty cost is formulated and applied in the case of a deadline violation. IQSSA and QSSGWA are tested on 19 global benchmark functions, and results prove their superior performance compared to SSA, GWO, BAT, and Particle Swarm Optimization (PSO) algorithm. Furthermore, these algorithms are simulated on CloudSim, and performance matrices such as service provider's profit, makespan, SLA violation rate, task rejection rate, throughput, resource utilization, and response time are compared. The comparison analysis demonstrates that the proposed algorithms offer better performance and more efficient scheduling than existing metaheuristics. Furthermore, simulation results clearly show that QSSGWA gives the best results for all performance matrices. This proposed approach can be applied in many scientific domains, where distributed processing of data or large scale data analysis is required such as distributed and federated machine learning, serverless computing, medical applications, etc. © 2022, The Author(s), under exclusive licence to Springer Science+Business Media, LLC, part of Springer Nature.</t>
  </si>
  <si>
    <t>Grey wolf algorithm; Quality of Service; Quantum-inspired computing; Salp swarm algorithm; Service level agreement; Task scheduling</t>
  </si>
  <si>
    <t>Application programs; Benchmarking; Budget control; Data handling; Infrastructure as a service (IaaS); Matrix algebra; Medical applications; Multitasking; Particle swarm optimization (PSO); Profitability; Scheduling algorithms; Software as a service (SaaS); Gray wolf algorithm; Gray wolves; Optimizers; Quality-of-service; Quantum-inspired computing; Salp swarm algorithm; Salp swarms; Servicelevel agreement (SLA); Swarm algorithms; Tasks scheduling; Quality of service</t>
  </si>
  <si>
    <t>2-s2.0-85139095342</t>
  </si>
  <si>
    <t>Padma P.; Srinivasan S.</t>
  </si>
  <si>
    <t>Padma, P. (57193140645); Srinivasan, S. (57221874764)</t>
  </si>
  <si>
    <t>57193140645; 57221874764</t>
  </si>
  <si>
    <t>DAuth—Delegated Authorization Framework for Secured Serverless Cloud Computing</t>
  </si>
  <si>
    <t>10.1007/s11277-023-10189-7</t>
  </si>
  <si>
    <t>Serverless computing which is known as Function as a service becomes a new form of cloud computing. In recent days it enables the components of cloud applications to run on multiple servers in order to provide various functionalities. However, the performance of such applications depends on various modules including the control mechanism of the application. There is a significant reduction in the response time and the ensuing operating costs as the functions are consumed based on need. The most common authorization standards used in Cloud Computing Services nowadays are Open Authorization (commonly referred to as OAuth), OpenID and Security Assertion Markup language. But, the above identity management mechanisms cause additional security vulnerabilities because of their open nature of identity federation. In order to eliminate such vulnerabilities, we have proposed in this paper a novel access named D-Auth which provides both authentication and authorization for serverless computing by introducing Server based with OTP and token authentication in serverless platform by generating D-Auth Tokens and cross sectional Comparative analysis is done between existing and proposed solution to validate the improvement in the protection of Identity management. It considerably reduces security threads by offloading the Identity management to in-premise servers. It enables the organization to implement their own security policies depending on their requirements. © 2023, The Author(s), under exclusive licence to Springer Science+Business Media, LLC, part of Springer Nature.</t>
  </si>
  <si>
    <t>Authentication; Authorization; Identity management; Security; Serverless computing</t>
  </si>
  <si>
    <t>Authorization; Cloud computing; Markup languages; Operating costs; Authorization frameworks; Cloud applications; Cloud-computing; Control mechanism; Identity management; Multiple servers; New forms; Performance; Security; Serverless computing; Authentication</t>
  </si>
  <si>
    <t>2-s2.0-85149450615</t>
  </si>
  <si>
    <t>Arjona A.; Finol G.; López P.G.</t>
  </si>
  <si>
    <t>Arjona, Aitor (57218478604); Finol, Gerard (57728281000); López, Pedro García (57197004999)</t>
  </si>
  <si>
    <t>57218478604; 57728281000; 57197004999</t>
  </si>
  <si>
    <t>Access transparency means that both local and remote resources are accessed using identical operations. With transparency, unmodified single-machine applications could run over disaggregated compute, storage, and memory resources. Hiding the complexity of distributed systems through transparency would have great benefits, like scaling-out local-parallel scientific applications over flexible disaggregated resources in the Cloud. This paper presents a performance evaluation where we assess the feasibility of access transparency over state-of-the-art Cloud disaggregated resources for Python multiprocessing applications. We have interfaced the multiprocessing module with an implementation that transparently runs processes on serverless functions and uses an in-memory data store for shared state. To evaluate transparency, we run in the Cloud four unmodified applications: Uber Research's Evolution Strategies, Baselines-AI's Proximal Policy Optimization, Pandaral.lel's dataframe, and Scikit Learn's Hyperparameter tuning. We compare execution time and scalability of the same application running over disaggregated resources using our library, with the single-machine Python multiprocessing libraries in a large VM. For equal resources, applications efficiently using message-passing abstractions achieve comparable results despite the significant overheads of remote communication. Other shared-memory intensive applications do not perform due to high remote memory latency. The results show that Python's multiprocessing library design is an enabler towards transparency: legacy applications using efficient disaggregated abstractions can transparently scale beyond VM limited resources for increased parallelism without changing the underlying code or architecture. © 2022 The Author(s)</t>
  </si>
  <si>
    <t>Access transparency; FaaS; Multiprocessing; Parallel programming; Serverless; Transparency</t>
  </si>
  <si>
    <t>Abstracting; Digital storage; High level languages; Memory architecture; Message passing; Python; Transparency; Virtual machine; Access transparency; Compute resources; Faas; Local resources; Memory resources; Multiprocessing; Remote resources; Serverless; Single- machines; Storage resources; Parallel programming</t>
  </si>
  <si>
    <t>2-s2.0-85142207854</t>
  </si>
  <si>
    <t>Proietti Mattia G.; Beraldi R.</t>
  </si>
  <si>
    <t>Proietti Mattia, Gabriele (57214231538); Beraldi, Roberto (6701602185)</t>
  </si>
  <si>
    <t>57214231538; 6701602185</t>
  </si>
  <si>
    <t>P2PFaaS: A framework for FaaS peer-to-peer scheduling and load balancing in Fog and Edge computing</t>
  </si>
  <si>
    <t>10.1016/j.softx.2022.101290</t>
  </si>
  <si>
    <t>In Edge and Fog Computing environments, it is usual to design and test distributed algorithms that implement scheduling and load balancing solutions. The operation paradigm that usually fits the context requires the users to make calls to the closer node for executing a task, and since the service must be distributed among a set of nodes, the serverless paradigm with the FaaS (Function-as-a-Service) is the most promising strategy to use. In light of these preconditions, we designed and implemented a framework called P2PFaaS. The framework, built upon Docker containers, allows the implementation of fully decentralised scheduling or load balancing algorithms among a set of nodes. By relying on three basic services, such as the scheduling service, the discovery service, and the learner service, the framework allows the implementation of any kind of scheduling solution, even if based on Reinforcement Learning. Finally, the framework provides a ready-to-go solution that can be installed and has been tested both on x86 servers and ARM-based edge nodes (like, for example, the Raspberry Pi). © 2022 The Author(s)</t>
  </si>
  <si>
    <t>Edge Computing; FaaS; Fog Computing</t>
  </si>
  <si>
    <t>Edge computing; Fog; Reinforcement learning; Scheduling algorithms; Computing environments; Decentralized scheduling; Design and tests; Edge computing; Function-as-a-service; Load-Balancing; Load-balancing algorithm; Peer-to-peer scheduling; Reinforcement learnings; Scheduling service; Fog computing</t>
  </si>
  <si>
    <t>2-s2.0-85144575807</t>
  </si>
  <si>
    <t>Yao X.; Chen N.; Yuan X.; Ou P.</t>
  </si>
  <si>
    <t>Yao, Xuyi (57223028245); Chen, Ningjiang (35106572000); Yuan, Xuemei (57456698800); Ou, Pingjie (57456668400)</t>
  </si>
  <si>
    <t>57223028245; 35106572000; 57456698800; 57456668400</t>
  </si>
  <si>
    <t>It is difficult for resource-constrained edge servers to simultaneously meet the performance requirements of all the latency-sensitive Internet of Things (IoT) applications in edge computing. Therefore, it is a significant challenge to efficiently generate a task offloading strategy. Recently, deep reinforcement learning (DRL)-based task offloading methods have been studied to ensure long-term performance optimization. However, there are challenges in existing DRL-based task offloading methods, such as insufficient sample diversity and high exploration cost. To optimize the performance of edge computing and facilitate the development and deployment of event-driven IoT applications, the serverless edge computing model has emerged. It combines serverless computing, also known as Function as a Service (FaaS), with edge computing and has been adopted in edge AI inference and prediction, stream processing, face recognition, etc. In this paper, an experience-sharing deep reinforcement learning-based distributed function offloading method called ES-DRL is proposed in the setting of a combined stateful and stateless execution model for serverless edge computing. ES-DRL adopts a distributed learning architecture, where each edge FaaS (EFaaS) obtains the current state of the local environment and inputs them to the local DRL agent, which outputs the function offloading strategy. Then, each EFaaS uploads the experience data interacting with the environment to a global shared replay buffer located in the cloud and randomly draws a batch of data from it to optimize the parameters of the local network. A population-guided policy search method is introduced to speed up the convergence of the DRL agent and avoid falling into the local optimum. The experimental results demonstrate that ES-DRL can reduce the average latency by up to approximately 17 percent compared to the existing DRL-based task offloading method. © 2022 Elsevier B.V.</t>
  </si>
  <si>
    <t>Deep reinforcement learning; Edge computing; Function offloading; Serverless computing; Task offloading</t>
  </si>
  <si>
    <t>Deep learning; Edge computing; Face recognition; Internet of things; Learning systems; Computing functions; Deep reinforcement learning; Edge computing; Edge server; Function offloading; Performance optimizations; Reinforcement learning agent; Reinforcement learnings; Serverless computing; Task offloading; Reinforcement learning</t>
  </si>
  <si>
    <t>2-s2.0-85139037401</t>
  </si>
  <si>
    <t>Lipitakis A.-D.; Kousiouris G.; Nikolaidou M.; Bardaki C.; Anagnostopoulos D.</t>
  </si>
  <si>
    <t>Lipitakis, Anastasia-Dimitra (56211196900); Kousiouris, George (26031026200); Nikolaidou, Mara (57194042339); Bardaki, Cleopatra (25926820000); Anagnostopoulos, Dimosthenis (7006520277)</t>
  </si>
  <si>
    <t>56211196900; 26031026200; 57194042339; 25926820000; 7006520277</t>
  </si>
  <si>
    <t>Empirical investigation of factors influencing function as a service performance in different cloud/edge system setups</t>
  </si>
  <si>
    <t>10.1016/j.simpat.2023.102808</t>
  </si>
  <si>
    <t>Experimental data can aid in gaining insights about a system operation, as well as determining critical aspects of a modeling or simulation process. In this paper, we analyze the data acquired from an extensive experimentation process in a serverless Function as a Service system (based on the open source Apache Openwhisk) that has been deployed across 3 available cloud/edge locations with different system setups. Thus, they can be used to model distribution of functions through multi-location aware scheduling mechanisms. The experiments include different traffic arrival rates, different setups for the FaaS system, as well as different configurations for the hardware and platform used. We analyze the acquired data for the three FaaS system setups and discuss their differences presenting interesting conclusions with relation to transient effects of the system, such as the effect on wait and execution time. We also demonstrate interesting trade-offs with relation to system setup and indicate a number of factors that can affect system performance and should be taken under consideration in modeling attempts of such systems. © 2023 Elsevier B.V.</t>
  </si>
  <si>
    <t>Cloud computing; Edge computing; Function as a service; Performance evaluation; Performance modeling</t>
  </si>
  <si>
    <t>Distribution functions; Economic and social effects; Open systems; Cloud-computing; Edge computing; Empirical investigation; Function as a service; Gaining insights; Performance Modeling; Performances evaluation; Service performance; System-setup; Systems operation; Edge computing</t>
  </si>
  <si>
    <t>2-s2.0-85166470138</t>
  </si>
  <si>
    <t>Bermbach D.; Bader J.; Hasenburg J.; Pfandzelter T.; Thamsen L.</t>
  </si>
  <si>
    <t>Bermbach, David (51461094200); Bader, Jonathan (57221101513); Hasenburg, Jonathan (57206475077); Pfandzelter, Tobias (57208737730); Thamsen, Lauritz (55222001800)</t>
  </si>
  <si>
    <t>51461094200; 57221101513; 57206475077; 57208737730; 55222001800</t>
  </si>
  <si>
    <t>AuctionWhisk: Using an auction-inspired approach for function placement in serverless fog platforms</t>
  </si>
  <si>
    <t>10.1002/spe.3058</t>
  </si>
  <si>
    <t>The Function-as-a-Service (FaaS) paradigm has a lot of potential as a computing model for fog environments comprising both cloud and edge nodes, as compute requests can be scheduled across the entire fog continuum in a fine-grained manner. When the request rate exceeds capacity limits at the resource-constrained edge, some functions need to be offloaded toward the cloud. In this article, we present an auction-inspired approach in which application developers bid on resources while fog nodes decide locally which functions to execute and which to offload in order to maximize revenue. Unlike many current approaches to function placement in the fog, our approach can work in an online and decentralized manner. We also present our proof-of-concept prototype AuctionWhisk that illustrates how such an approach can be implemented in a real FaaS platform. Through a number of simulation runs and system experiments, we show that revenue for overloaded nodes can be maximized without dropping function requests. © 2021 The Authors. Software: Practice and Experience published by John Wiley &amp; Sons Ltd.</t>
  </si>
  <si>
    <t>distributed scheduling; fog computing; function-as-a-service; serverless computing</t>
  </si>
  <si>
    <t>Fog computing; Capacity limit; Computing model; Distributed scheduling; Edge nodes; Fine grained; Function-as-a-service; Practice and experience; Serverless computing; Service paradigm; Software practices; Fog</t>
  </si>
  <si>
    <t>2-s2.0-85120540762</t>
  </si>
  <si>
    <t>Chiang R.C.</t>
  </si>
  <si>
    <t>Chiang, Ron C. (36141776800)</t>
  </si>
  <si>
    <t>Contention-aware container placement strategy for docker swarm with machine learning based clustering algorithms</t>
  </si>
  <si>
    <t>10.1007/s10586-020-03210-2</t>
  </si>
  <si>
    <t>Containerization technology utilizes operating system level virtualization to package applications to run with required libraries and are isolated from other processes on the same host. Lightweight and quick deployment make containers popular in many data centers. Running distributed applications in data centers usually involves multiple clusters of machines. Docker Swarm is a container orchestration tool for managing a cluster of Docker containers and their hosts. However, Docker Swarm’s scheduler does not consider resource utilization when placing containers in a cluster. This paper first investigated performance interference in container clusters. Our experimental study showed that distributed applications’ performance can be degraded when co-located with other containers which aggressively consume resources. A new scheduler is proposed to improve performance while keeping high resource utilization. The experimental results demonstrated that the proposed prototype with machine learning based clustering algorithms could effectively improve distributed applications’ performance by up to 14.5% with an average at around 12%. This work also provides theoretical bounds for the container placement problem. © 2020, Springer Science+Business Media, LLC, part of Springer Nature.</t>
  </si>
  <si>
    <t>Cloud computing; Container; Microservices; Serverless Computing; Virtualization</t>
  </si>
  <si>
    <t>Clustering algorithms; Learning algorithms; Machine learning; Scheduling; Swarm intelligence; Virtual reality; Virtualization; Application performance; Based clustering; Cloud-computing; Datacenter; Distributed applications; Machine-learning; Microservice; Resources utilizations; Serverless computing; Virtualizations; Containers</t>
  </si>
  <si>
    <t>2-s2.0-85096453529</t>
  </si>
  <si>
    <t>Carrión C.</t>
  </si>
  <si>
    <t>Carrión, Carmen (56208197700)</t>
  </si>
  <si>
    <t>Kubernetes as a Standard Container Orchestrator - A Bibliometric Analysis</t>
  </si>
  <si>
    <t>10.1007/s10723-022-09629-8</t>
  </si>
  <si>
    <t>Container orchestration systems simplify the deployment and maintenance of container-based applications, but developing efficient and well-defined orchestration systems is a challenge. Nowadays, Kubernetes is a leading open-source container orchestration platform that has become the de facto standard. The aim of this paper is to provide a comprehensive overview of the Kubernetes orchestrator and grasp the current research emphasis by using a bibliometric analysis. Bibliometrix software was adopted as bibliometric analysis tools to find hot research topics and guide the future researching in the area. The Web of Science core collection database was used as the primary source for data collection. Data were collected from 803 articles published from 2014 to September 2022. In particular, publication outputs and research areas can provide insight into the development trends and current domains in terms of Kubernetes research. The most influential and productive authors, institutions, countries and journals contributed to this bibliometric analysis. The hottest research topics on Kubernetes are mainly centered on “cloud/fog/edge computing and Internet of Things (IoT)”, “containers and virtualization”, “docker”, “resource scheduling”, “microservices” and “artificial intelligent (AI)”. A cluster analysis was conducted from a keyword perspective to obtain emerging trends and frontiers for Kubernetes. The results showed that future research should focus on “automation”, “5G”, “scalability”, “resource scheduling”, “serverless”, “service mesh” and “blockchain”. Therefore, this paper aims to assist academics and practitioners in gaining a comprehensive understanding of the status quo and trends in Kubernetes research. © 2022, The Author(s), under exclusive licence to Springer Nature B.V.</t>
  </si>
  <si>
    <t>Bibliometric; Container orchestrator; Containers; Kubernetes; Review</t>
  </si>
  <si>
    <t>5G mobile communication systems; Cluster analysis; Data acquisition; Internet of things; Open source software; Scheduling; 'current; Analysis tools; Bibliometric; Bibliometrics analysis; Container orchestrator; De facto standard; Hot research topics; Kubernetes; Open-source; Resource-scheduling; Containers</t>
  </si>
  <si>
    <t>2-s2.0-85143380522</t>
  </si>
  <si>
    <t>Deng Z.; Yu X.</t>
  </si>
  <si>
    <t>Deng, Zhongliang (7402665569); Yu, Xiaoyi (57202913466)</t>
  </si>
  <si>
    <t>7402665569; 57202913466</t>
  </si>
  <si>
    <t>Resource Mapping Allocation Scheme in 6G Satellite Twin Network</t>
  </si>
  <si>
    <t>10.3390/s22155816</t>
  </si>
  <si>
    <t>The sixth generation (6G) satellite twin network is an important solution to achieve seamless global coverage of 6G. The deterministic geometric topology and the randomness of the communication behaviors of 6G networks limit the realism and transparency of cross-platform and cross-object communication, twin, and computing co-simulation networks. Meanwhile, the parallel-based serverless architecture has a high redundancy of computational resource allocation. Therefore, for the first time, we present a new hypergraph hierarchical nested kriging model, which provides theoretical analysis and modeling of integrated relationships for communication, twin, and computing. We explore the hierarchical unified characterization method which joins heterogeneous topologies. A basis function matrix for local flexible connectivity of the global network is designed for the connection of huge heterogeneous systems to decouple the resource mapping among heterogeneous networks. To improve the efficiency of resource allocation in communication, twin, and computing integrated network, a multi-constraint multi-objective genetic algorithm (MMGA) based on the common requirements of operations, storage, interaction, and multi-layer optimal solution conflict is proposed for the first time. The effectiveness of the algorithm and architecture is verified through simulation and testing. © 2022 by the authors.</t>
  </si>
  <si>
    <t>6G; integrated network framework; multi-objective optimization; satellite communication; twin network</t>
  </si>
  <si>
    <t>Genetic algorithms; Heterogeneous networks; Mapping; Multiobjective optimization; Network architecture; Satellite communication systems; Satellites; Simulation platform; Topology; 6g; Global coverage; Integrated network framework; Integrated networks; Multi-objectives optimization; Network frameworks; Resource mapping; Resources allocation; Satellite communications; TWIN networks; adult; article; clinical article; female; genetic algorithm; kriging; male; multiobjective optimization; resource allocation; simulation; telecommunication; theoretical study; Resource allocation</t>
  </si>
  <si>
    <t>2-s2.0-85136516519</t>
  </si>
  <si>
    <t>Ahmed Abdulsaheb J.; Jasim Kadhim D.</t>
  </si>
  <si>
    <t>Ahmed Abdulsaheb, Jaafar (57860014600); Jasim Kadhim, Dheyaa (57204945022)</t>
  </si>
  <si>
    <t>57860014600; 57204945022</t>
  </si>
  <si>
    <t>Real-Time SLAM Mobile Robot and Navigation Based on Cloud-Based Implementation</t>
  </si>
  <si>
    <t>Journal of Robotics</t>
  </si>
  <si>
    <t>10.1155/2023/9967236</t>
  </si>
  <si>
    <t>This study investigates the feasibility of a mobile robot navigating and discovering its location in unknown environments, followed by the creation of maps of these navigated environments for future use. First, a real mobile robot named TurtleBot3 Burger was used to achieve the simultaneous localization and mapping (SLAM) technique for a complex environment with 12 obstacles of different sizes based on the Rviz library, which is built on the robot operating system (ROS) booted in Linux. It is possible to control the robot and perform this process remotely by using an Amazon Elastic Compute Cloud (Amazon EC2) instance service. Then, the map to the Amazon Simple Storage Service (Amazon S3) cloud was uploaded. This provides a database to display maps and use them at any time for navigation without the need to redraw the map. This map can be accessed by using an authentication process (username and password) supervised by the cloud server administrator. After that, using the serverless image handler (SIH), with the aid of this solution, you can change the size of images, change the color of the background, format them, or add watermarks. Experiment results demonstrated the ability to build a map of an unknown location in a complex environment and use it for navigation tasks on a real mobile robot via remote control. It also showed the success of the process of storing the map for future use and the process of modifying the map using SIH.  © 2023 Jaafar Ahmed Abdulsaheb and Dheyaa Jasim Kadhim.</t>
  </si>
  <si>
    <t>Authentication; Computer operating systems; Navigation; Remote control; Robot Operating System; Cloud-based; Complex environments; Different sizes; Elastic compute clouds; Localization technique; Mapping techniques; Real- time; Simple storage services; Simultaneous localization and mapping; Unknown environments; Mobile robots</t>
  </si>
  <si>
    <t>2-s2.0-85152773496</t>
  </si>
  <si>
    <t>Eismann S.; Costa D.E.; Liao L.; Bezemer C.-P.; Shang W.; van Hoorn A.; Kounev S.</t>
  </si>
  <si>
    <t>Eismann, Simon (57203095294); Costa, Diego Elias (57198365954); Liao, Lizhi (58349683400); Bezemer, Cor-Paul (35742992600); Shang, Weiyi (35093168200); van Hoorn, André (26421837600); Kounev, Samuel (23397538000)</t>
  </si>
  <si>
    <t>57203095294; 57198365954; 58349683400; 35742992600; 35093168200; 26421837600; 23397538000</t>
  </si>
  <si>
    <t>Context: While in serverless computing, application resource management and operational concerns are generally delegated to the cloud provider, ensuring that serverless applications meet their performance requirements is still a responsibility of the developers. Performance testing is a commonly used performance assessment practice; however, it traditionally requires visibility of the resource environment. Objective: In this study, we investigate whether performance tests of serverless applications are stable, that is, if their results are reproducible, and what implications the serverless paradigm has for performance tests. Method: We conduct a case study where we collect two datasets of performance test results: (a) repetitions of performance tests for varying memory size and load intensities and (b) three repetitions of the same performance test every day for ten months. Results: We find that performance tests of serverless applications are comparatively stable if conducted on the same day. However, we also observe short-term performance variations and frequent long-term performance changes. Conclusion: Performance tests for serverless applications can be stable; however, the serverless model impacts the planning, execution, and analysis of performance tests. © 2022 Elsevier Inc.</t>
  </si>
  <si>
    <t>FaaS; Function-as-a-Service; Performance; Reproducibility; Serverless; Stability</t>
  </si>
  <si>
    <t>Case-studies; Cloud providers; Computing applications; Faas; Function-as-a-service; Performance; Performance tests; Reproducibilities; Resource management; Serverless; Testing</t>
  </si>
  <si>
    <t>2-s2.0-85126571137</t>
  </si>
  <si>
    <t>Liu Y.; Jiang B.; Guo T.; Huang Z.; Ma W.; Wang X.; Zhou C.</t>
  </si>
  <si>
    <t>Liu, Yunzhuo (56966454500); Jiang, Bo (57210169854); Guo, Tian (56021531900); Huang, Zimeng (57669623200); Ma, Wenhao (57667967400); Wang, Xinbing (22136880500); Zhou, Chenghu (7403347013)</t>
  </si>
  <si>
    <t>56966454500; 57210169854; 56021531900; 57669623200; 57667967400; 22136880500; 7403347013</t>
  </si>
  <si>
    <t>Training deep learning (DL) models in the cloud has become a norm. With the emergence of serverless computing and its benefits of true pay-as-you-go pricing and scalability, systems researchers have recently started to provide support for serverless-based training. However, the ability to train DL models on serverless platforms is hindered by the resource limitations of today's serverless infrastructure and DL models' explosive requirement for memory and bandwidth. This paper describes FuncPipe, a novel pipelined training framework specifically designed for serverless platforms that enable fast and low-cost training of DL models. FuncPipe is designed with the key insight that model partitioning can be leveraged to bridge both memory and bandwidth gaps between the capacity of serverless functions and the requirement of DL training. Conceptually simple, we have to answer several design questions, including how to partition the model, configure each serverless function, and exploit each function's uplink/downlink bandwidth. In particular, we tailor a micro-batch scheduling policy for the serverless environment, which serves as the basis for the subsequent optimization. Our Mixed-Integer Quadratic Programming formulation automatically and simultaneously configures serverless resources and partitions models to fit within the resource constraints. Lastly, we improve the bandwidth efficiency of storage-based synchronization with a novel pipelined scatter-reduce algorithm. We implement FuncPipe on two popular cloud serverless platforms and show that it achieves 7%-77% cost savings and 1.3X-2.2X speedup compared to state-of-the-art serverless-based frameworks.  © 2022 ACM.</t>
  </si>
  <si>
    <t>Bandwidth; Costs; Deep learning; Integer programming; Learning systems; Pipelines; Cost-efficient; Distributed training; Learning models; Low-costs; Model partitioning; Pay as you go; Pipeline parallelisms; Resource limitations; Serverless function; Training framework; Quadratic programming</t>
  </si>
  <si>
    <t>2-s2.0-85146313243</t>
  </si>
  <si>
    <t>Kjorveziroski V.; Filiposka S.</t>
  </si>
  <si>
    <t>Kjorveziroski, Vojdan (57206892171); Filiposka, Sonja (8206057400)</t>
  </si>
  <si>
    <t>57206892171; 8206057400</t>
  </si>
  <si>
    <t>Kubernetes distributions for the edge: serverless performance evaluation</t>
  </si>
  <si>
    <t>10.1007/s11227-022-04430-6</t>
  </si>
  <si>
    <t>Serverless computing, especially when deployed at the edge of the network, is seen as an enabling technology for the future development of more complex Internet of Things systems. However, special care must be taken when deploying new edge infrastructures for serverless workloads in terms of resource usage and network connectivity. Inefficient utilization of the available computing resources might easily cancel out the benefits acquired by moving the equipment closer to the edge, namely the reduced communication latency. Containers, together with the Kubernetes container orchestrator, are used by many serverless platforms today. We evaluate the performance of three different Kubernetes distributions—full-fledged Kubernetes, K3s, and MicroK8s when deployed in a resource constrained environment at the edge. We use the OpenFaaS serverless platform and employ 14 different benchmarks divided into three separate categories to evaluate various aspects of the execution performance of the distributions. Four different test types are performed focusing on cold start latency, serial execution performance, parallel execution using a single replica, and parallel execution utilizing different autoscaling strategies. Our results show that the edge-oriented K3s and MicroK8s distributions offer better performance in the majority of the tests, while a full-fledged deployment exhibits noticeable advantages for sustained loads such as parallel function invocation using a single replica. © 2022, The Author(s), under exclusive licence to Springer Science+Business Media, LLC, part of Springer Nature.</t>
  </si>
  <si>
    <t>Function as a service; Internet of Things; Kubernetes; Performance evaluation; Serverless computing</t>
  </si>
  <si>
    <t>Benchmarking; Function evaluation; Internet of things; Web services; Enabling technologies; Execution performance; Function as a service; Kubernetes; Network connectivity; Parallel executions; Performance; Performances evaluation; Resource usage; Serverless computing; Containers</t>
  </si>
  <si>
    <t>2-s2.0-85127088770</t>
  </si>
  <si>
    <t>Poojara S.R.; Dehury C.K.; Jakovits P.; Srirama S.N.</t>
  </si>
  <si>
    <t>Poojara, Shivananda R. (56126398800); Dehury, Chinmaya Kumar (57190092027); Jakovits, Pelle (41261456200); Srirama, Satish Narayana (14632859900)</t>
  </si>
  <si>
    <t>56126398800; 57190092027; 41261456200; 14632859900</t>
  </si>
  <si>
    <t>Serverless data pipeline approaches for IoT data in fog and cloud computing</t>
  </si>
  <si>
    <t>10.1016/j.future.2021.12.012</t>
  </si>
  <si>
    <t>With the increasing number of Internet of Things (IoT) devices, massive amounts of raw data is being generated. The latency, cost, and other challenges in cloud-based IoT data processing have driven the adoption of Edge and Fog computing models, where some data processing tasks are moved closer to data sources. Properly dealing with the flow of such data requires building data pipelines, to control the complete life cycle of data streams from data acquisition at the data source, edge and fog processing, to Cloud side storage and analytics. Data analytics tasks need to be executed dynamically at different distances from the data sources and often on very heterogeneous hardware devices. This can be streamlined by the use of a Serverless (or FaaS) cloud computing model, where tasks are defined as virtual functions, which can be migrated from edge to cloud (and vice versa) and executed in an event-driven manner on data streams. In this work, we investigate the benefits of building Serverless data pipelines (SDP) for IoT data analytics and evaluate three different approaches for designing SDPs: (1) Off-the-shelf data flow tool (DFT) based, (2) Object storage service (OSS) based and (3) MQTT based. Further, we applied these strategies on three fog applications (Aeneas, PocketSphinx, and custom Video processing application) and evaluated the performance by comparing their processing time (computation time, network communication and disk access time), and resource utilization. Results show that DFT is unsuitable for compute-intensive applications such as video or image processing, whereas OSS is best suitable for this task. However, DFT is nicely fit for bandwidth-intensive applications due to the minimum use of network resources. On the other hand, MQTT-based SDP is observed with increase in CPU and Memory usage as the number of users rose, and experienced a drop in data units in the pipeline for PocketSphinx and custom video processing applications, however it performed well for Aeneas which had low size data units. © 2021 Elsevier B.V.</t>
  </si>
  <si>
    <t>Cloud computing; Data pipelines; Edge computing; Fog computing; Internet of things; Serverless computing</t>
  </si>
  <si>
    <t>Data acquisition; Data Analytics; Data handling; Digital storage; Edge computing; Fog; Image processing; Internet of things; Life cycle; Pipeline processing systems; Pipelines; Video signal processing; Cloud-computing; Computing model; Data analytics; Data pipelines; Data stream; Data-source; Dataflow; Edge computing; Object storages; Serverless computing; Fog computing</t>
  </si>
  <si>
    <t>2-s2.0-85124281484</t>
  </si>
  <si>
    <t>Sabbioni A.; Rosa L.; Bujari A.; Foschini L.; Corradi A.</t>
  </si>
  <si>
    <t>Sabbioni, Andrea (57196191696); Rosa, Lorenzo (57419343800); Bujari, Armir (35118641200); Foschini, Luca (7004212533); Corradi, Antonio (57200217801)</t>
  </si>
  <si>
    <t>57196191696; 57419343800; 35118641200; 7004212533; 57200217801</t>
  </si>
  <si>
    <t>Serverless computing is an emerging proposition in the cloud offering landscape that promotes a higher level of abstraction, further decoupling software operations from the underlying hardware. Often recognized as an economically driven computational approach, the serverless model relies on the execution of short-lived stateless functions, enabling a fine-grained accounting and control of resources. In this context, function composition represents an appealing feature, allowing the composition of two or more functions to create tailored processing pipelines, incentivizing modularity and reusability of functions, while paving the way to application-specific run-time optimizations. This work presents DIFFUSE: a DIstributed and decentralized platForm enabling Function composition in Serverless Environments. DIFFUSE embodies an innovative infrastructural support, enabling the efficient and transparent composition of functions by relying on pluggable middleware support, serving as a conveyor of messages among the platform components. Broadening the deployment spectrum of our proposal, we assess different middleware solutions, each presenting distinct delivery profiles, evidencing the tradeoffs that emerge. © 2022 Elsevier B.V.</t>
  </si>
  <si>
    <t>Distributed system; Function composition; Latency; Middleware; Serverless computing; Shared memory</t>
  </si>
  <si>
    <t>Distributed computer systems; Reusability; Computational approach; Decentralised; Decouplings; Distributed systems; Fine grained; Function composition; High level of abstraction; Latency; Serverless computing; Shared memory; Middleware</t>
  </si>
  <si>
    <t>2-s2.0-85129622633</t>
  </si>
  <si>
    <t>Kumari A.; Patra M.K.; Sahoo B.; Behera R.K.</t>
  </si>
  <si>
    <t>Kumari, Anisha (57217383661); Patra, Manoj Kumar (57200271309); Sahoo, Bibhudatta (7003533401); Behera, Ranjan Kumar (58795826400)</t>
  </si>
  <si>
    <t>57217383661; 57200271309; 7003533401; 58795826400</t>
  </si>
  <si>
    <t>Resource optimization in performance modeling for serverless application</t>
  </si>
  <si>
    <t>10.1007/s41870-022-01073-x</t>
  </si>
  <si>
    <t>Recently, serverless applications and serverless computing have gained popularity due to their pay-as-you-go billing mechanism, high scalability, high availability, and less burden in resource management. Despite that, many practical issues arise for cloud users while migrating their applications to the serverless environment such as estimating the exact cost, performance evaluation, cope up with the trade-off between performance and cost to get the expected quality of service, and restricted budget for serverless applications. In this research, an effort has been made to bridge the gap by proposing an effective performance model for various serverless applications, which can be represented as Directed Acyclic Graph workflows. Further, we have proposed a greedy optimization-based heuristic algorithm to obtain the resource configuration needed to get optimal end to end response time and the cost. We have leveraged the Step Functions and Lambda service of Amazon Web Service platform for evaluating the proposed models. An extensive analysis of performance-cost trade-off has been performed by considering four real-world serverless applications. © 2022, The Author(s), under exclusive licence to Bharati Vidyapeeth's Institute of Computer Applications and Management.</t>
  </si>
  <si>
    <t>Cloud computing; FaaS; Performance modeling; Performance optimization; Serverless computing</t>
  </si>
  <si>
    <t>2-s2.0-85136570037</t>
  </si>
  <si>
    <t>Gusev M.</t>
  </si>
  <si>
    <t>Gusev, Marjan (7102901664)</t>
  </si>
  <si>
    <t>Scalable Dew Computing</t>
  </si>
  <si>
    <t>10.3390/app12199510</t>
  </si>
  <si>
    <t>Dew computing differs from the classical cloud and edge computing by bringing devices closer to the end-users and adding autonomous processing independent from the Internet, but it is still able to collaborate with other devices to exchange information on the Internet. The difference is expressed also on scalability, since edge and cloud providers can provide (almost endless) resources, and in the case of dew computing the scalability needs to be realized on the level of devices, instead of servers. In this paper, we introduce an approach to provide deviceless and thingless computing and ensure scalable dew computing. The deviceless approach allows functions to be executed on nearby devices found closer to the user, and the thingless approach goes even further, providing scalability on a low-level infrastructure that consists of multiple things, such as IoT devices. These approaches introduce the distribution of computing to other smart devices or things on a lower architectural level. Such an approach enhances the existing dew computing architectural model as a sophisticated platform for future generation IoT systems. © 2022 by the author.</t>
  </si>
  <si>
    <t>device as a service; dew computing; edge computing; function as a service; serverless computing; thing as a service</t>
  </si>
  <si>
    <t>2-s2.0-85139980535</t>
  </si>
  <si>
    <t>Zafeiropoulos A.; Fotopoulou E.; Filinis N.; Papavassiliou S.</t>
  </si>
  <si>
    <t>Zafeiropoulos, Anastasios (24333644200); Fotopoulou, Eleni (8727584800); Filinis, Nikos (57408829400); Papavassiliou, Symeon (23567140500)</t>
  </si>
  <si>
    <t>24333644200; 8727584800; 57408829400; 23567140500</t>
  </si>
  <si>
    <t>Reinforcement learning-assisted autoscaling mechanisms for serverless computing platforms</t>
  </si>
  <si>
    <t>10.1016/j.simpat.2021.102461</t>
  </si>
  <si>
    <t>Serverless computing is emerging as a cloud computing paradigm that provisions computing resources on demand, while billing is taking place based on the exact usage of the cloud resources. The responsibility for infrastructure management is undertaken by cloud providers, enabling developers to focus on the development of the business logic of their applications. For managing scalability, various autoscaling mechanisms have been proposed that try to optimize the provisioning of resources based on the posed workload. These mechanisms are configured and managed by the cloud provider, imposing non negligible administration overhead. A set of challenges are identified for introducing automation and optimizing the provisioning of resources, while in parallel respecting the agreed Service Level Agreement between cloud and application providers. To address these challenges, we have developed autoscaling mechanisms for serverless applications that are powered by Reinforcement Learning (RL) techniques. A set of RL environments and agents have been implemented (based on Q-learning, DynaQ+ and Deep Q-learning algorithms) for driving autoscaling mechanisms, able to autonomously manage dynamic workloads with Quality of Service (QoS) guarantees, while opting for efficient usage of resources. The produced environments and agents are evaluated in real and simulated environments, taking advantage of the Kubeless open-source serverless platform. The evaluation results validate the suitability of the proposed mechanisms to efficiently tackle scalability management for serverless applications. © 2022 Elsevier B.V.</t>
  </si>
  <si>
    <t>Autoscaling; Intelligent orchestration; Reinforcement learning; Serverless application; Serverless computing</t>
  </si>
  <si>
    <t>Autonomous agents; Computation theory; Deep learning; Learning algorithms; Quality of service; Scalability; Autoscaling; Cloud providers; Cloud-computing; Computing paradigm; Computing platform; Computing resource; Intelligent orchestration; Resource on demands; Serverless application; Serverless computing; Reinforcement learning</t>
  </si>
  <si>
    <t>2-s2.0-85122667567</t>
  </si>
  <si>
    <t>Proceedings of the VLDB Endowment</t>
  </si>
  <si>
    <t>Mahgoub A.; Yi E.B.; Shankar K.; Minocha E.; Elnikety S.; Bagchi S.; Chaterji S.</t>
  </si>
  <si>
    <t>Mahgoub, Ashraf (56878717700); Yi, Edgardo Barsallo (57203268424); Shankar, Karthick (57215202832); Minocha, Eshaan (57734726400); Elnikety, Sameh (8366429300); Bagchi, Saurabh (14821898700); Chaterji, Somali (18133715900)</t>
  </si>
  <si>
    <t>56878717700; 57203268424; 57215202832; 57734726400; 8366429300; 14821898700; 18133715900</t>
  </si>
  <si>
    <t>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or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workers to reduce skew. (3) Resource Allocation assigns the right VM size to each function or function bundle in the DAG to reduce the E2E latency and cost. We implement WISEFUSE to evaluate it experimentally using three popular serverless applications with different DAG structures, memory footprints, and intermediate data sizes. Compared to competing approaches and other alternatives, WISEFUSE shows significant improvements in E2E latency and cost. Specifically, for a machine learning pipeline, WISEFUSE achieves P95 latency that is 67% lower than Photons, 39% lower than Faastlane, and 90% lower than SONIC without increasing the cost.  © 2022 Owner/Author.</t>
  </si>
  <si>
    <t>Dag transformation; Serverless; Workload characterization</t>
  </si>
  <si>
    <t>Cost reduction; Cloud providers; Communication method; Dag transformation; Efficient communications; Major factors; Performance; Production workloads; Serverless; Work-flows; Workload characterization; Budget control</t>
  </si>
  <si>
    <t>2-s2.0-85131680289</t>
  </si>
  <si>
    <t>Rodrigues P.; Freitas F.; Simão J.</t>
  </si>
  <si>
    <t>Rodrigues, Pedro (58027916700); Freitas, Filipe (57531767600); Simão, José (57189313027)</t>
  </si>
  <si>
    <t>58027916700; 57531767600; 57189313027</t>
  </si>
  <si>
    <t>QuickFaaS: Providing Portability and Interoperability between FaaS Platforms</t>
  </si>
  <si>
    <t>10.3390/fi14120360</t>
  </si>
  <si>
    <t>Serverless computing hides infrastructure management from developers and runs code on-demand automatically scaled and billed during the code’s execution time. One of the most popular serverless backend services is called Function-as-a-Service (FaaS), in which developers are often confronted with cloud-specific requirements. Function signature requirements, and the usage of custom libraries that are unique to cloud providers, were identified as the two main reasons for portability issues in FaaS applications, leading to various vendor lock-in problems. In this work, we define three cloud-agnostic models that compose FaaS platforms. Based on these models, we developed QuickFaaS, a multi-cloud interoperability desktop tool targeting cloud-agnostic functions and FaaS deployments. The proposed cloud-agnostic approach enables developers to reuse their serverless functions in different cloud providers with no need to change code or install extra software. We also provide an evaluation that validates the proposed solution by measuring the impact of a cloud-agnostic approach on the function’s performance, when compared to a cloud-non-agnostic one. The study shows that a cloud-agnostic approach does not significantly impact the function’s performance. © 2022 by the authors.</t>
  </si>
  <si>
    <t>cloud computing; cloud interoperability; cloud orchestration; cloud-agnostic; FaaS portability; Function-as-a-Service; serverless computing; vendor lock-in</t>
  </si>
  <si>
    <t>Cloud computing; Codes (symbols); Computer software portability; Computer software reusability; Locks (fasteners); Cloud interoperability; Cloud orchestration; Cloud-agnostic; Cloud-computing; Function-as-a-service; Function-as-a-service portability; Lock-in; Serverless computing; Service platforms; Vendor lock-in; Interoperability</t>
  </si>
  <si>
    <t>2-s2.0-85144595365</t>
  </si>
  <si>
    <t>Xu D.; Sun Z.</t>
  </si>
  <si>
    <t>Xu, Donghong (55664762500); Sun, Zhongbin (55541392600)</t>
  </si>
  <si>
    <t>55664762500; 55541392600</t>
  </si>
  <si>
    <t>An adaptive function placement in serverless computing</t>
  </si>
  <si>
    <t>10.1007/s10586-021-03506-x</t>
  </si>
  <si>
    <t>Serverless computing is a new fine-grained computing and deploying paradigm which combined terminal devices, edge nodes and cloud data center into a complete computing system. Stateless function is the critical factor to implement serverless computing. For optimizing the function execution, function placement is becoming the urgent problem to be solved in the serverless computing. To specify what is function placement in serverless computing, an adaptive function placement framework is presented. For prejudging the trend of function placement, positive or negative properties of event are classed. Based on the positive or negative impact on the function placement decision and function placement trend, mathematical model of function placement is presented for the first time. For specifying the adaptive function placement in serverless computing, An adaptive function placement model is formulated based on the Markov Decision Process (MDP). In the model, function states space, placement rate, placement probability, decision time, action set, cost and criterion are presented for the first time to specify the computation of the function’s MDP.The presented algorithm decides function execution in terminal devices,local edge nodes or the function execution in the remote available cloud servers in a real time and adaptive way. The presented algorithm also permits dynamically allocating functions to minimize the Dec(t) while keeping performance satisfaction. Evaluation and experiment show the presented adaptive function placement algorithm can get the satisfied requirements of different indexes. © 2021, The Author(s), under exclusive licence to Springer Science+Business Media, LLC, part of Springer Nature.</t>
  </si>
  <si>
    <t>Agent; Function placement; Serverless computing; Stateless function</t>
  </si>
  <si>
    <t>Markov processes; Adaptive functions; Cloud data centers; Edge clouds; Edge nodes; Fine grained; Function placement; Markov Decision Processes; Serverless computing; Stateless function; Terminal devices; Functions</t>
  </si>
  <si>
    <t>2-s2.0-85123837739</t>
  </si>
  <si>
    <t>Darmawan H.; Yuliana M.; Hadi M.Z.S.</t>
  </si>
  <si>
    <t>Darmawan, Hendri (57924036300); Yuliana, Mike (57189238414); Hadi, Moch. Zen Samsono (57209766758)</t>
  </si>
  <si>
    <t>57924036300; 57189238414; 57209766758</t>
  </si>
  <si>
    <t>Cloud-based Paddy Plant Pest and Disease Identification using Enhanced Deep Metric Learning and k-NN Classification with Augmented Latent Fusion</t>
  </si>
  <si>
    <t>10.22266/ijies2023.1231.14</t>
  </si>
  <si>
    <t>Identifying pests and diseases is vital for rice farming, but the lack of experts often limits it. We propose a novel method that uses deep metric learning and k-NN classifier to classify pests and diseases in paddy plants. We experimented using different distance metrics, latent dimensions, base models, and optimizers to train the neural model that produces latent representation from images. Then, we used k-NN retrieval approach to find and label similar images from the latent space. During the inference phase, we manipulated the original image using various transformations and fused them with its latent representation to enhance the quality of latent space. The results show that our method surpasses the conventional deep learning classification (softmax classifier). Specifically, our method achieved maximum accuracy of 0.920 on ResNet-50 and 0.878 on ResNet-152. In comparison, the softmax classifier only achieved maximum accuracy of 0.752 on the same modeling scheme. Our method can produce more discriminative and robust data representations for classification tasks. Moreover, latent fusion from input augmentation during inference can also improve accuracy up to 19.2%. We also deployed the best model from our experiment on serverless cloud computing, allowing users to use the platform for prediction and monitoring through GIS. © (2023), (Intelligent Network and Systems Society). All Rights Reserved.</t>
  </si>
  <si>
    <t>Deep metric learning; Distance metrics; k-NN; Latent fusion; Paddy plant pest and disease; Serverless cloud computing</t>
  </si>
  <si>
    <t>2-s2.0-85177689912</t>
  </si>
  <si>
    <t>Konstantoudakis K.; Breitgand D.; Doumanoglou A.; Zioulis N.; Weit A.; Christaki K.; Drakoulis P.; Christakis E.; Zarpalas D.; Daras P.</t>
  </si>
  <si>
    <t>Konstantoudakis, Konstantinos (55572958400); Breitgand, David (55897138000); Doumanoglou, Alexandros (55936845600); Zioulis, Nikolaos (57188750773); Weit, Avi (57170688900); Christaki, Kyriaki (57205393533); Drakoulis, Petros (57205395296); Christakis, Emmanouil (57204228254); Zarpalas, Dimitrios (8238770900); Daras, Petros (6602644373)</t>
  </si>
  <si>
    <t>55572958400; 55897138000; 55936845600; 57188750773; 57170688900; 57205393533; 57205395296; 57204228254; 8238770900; 6602644373</t>
  </si>
  <si>
    <t>Serverless streaming for emerging media: towards 5G network-driven cost optimization: A real-time adaptive streaming FaaS service for small-session-oriented immersive media</t>
  </si>
  <si>
    <t>10.1007/s11042-020-10219-7</t>
  </si>
  <si>
    <t>Immersive 3D media is an emerging type of media that captures, encodes and reconstructs the 3D appearance of people and objects, with applications in tele-presence, teleconference, entertainment, gaming and other fields. In this paper, we discuss a novel concept of live 3D immersive media streaming in a serverless setting. In particular, we present a novel network-centric adaptive streaming framework which deviates from the traditional client-based adaptive streaming used in 2D video. In our framework the decisions for the production of the transcoding profiles are taken in a centralized manner, by considering consumer metrics vs provisioning costs and inferring the expected consumer quality of experience and behavior based on them. In addition, we demonstrate that a naive application of the serverless paradigm might be sub-optimal under some common immersive 3D media scenarios. © 2021, The Author(s), under exclusive licence to Springer Science+Business Media, LLC part of Springer Nature.</t>
  </si>
  <si>
    <t>5G; Cognitive networking; Function-as-a-Service (FaaS); Immersive media; OPEX optimization; Real-time adaptive streaming; Serverless; Service optimization</t>
  </si>
  <si>
    <t>5G mobile communication systems; Consumer behavior; Quality of service; Queueing networks; Adaptive streaming; Behavior-based; Consumer quality; Cost optimization; Immersive media; Network-centric; Novel concept; Telepresence; Media streaming</t>
  </si>
  <si>
    <t>2-s2.0-85103218775</t>
  </si>
  <si>
    <t>Li Z.; Yu H.; Fan G.</t>
  </si>
  <si>
    <t>Li, Zengpeng (57893022200); Yu, Huiqun (55494828500); Fan, Guisheng (24829046300)</t>
  </si>
  <si>
    <t>57893022200; 55494828500; 24829046300</t>
  </si>
  <si>
    <t>Time-cost efficient memory configuration for serverless workflow applications</t>
  </si>
  <si>
    <t>10.1002/cpe.7308</t>
  </si>
  <si>
    <t>Recently, workflow applications are increasingly migrated to Function-as-a-Service platforms which are easy to manage, highly-scalable, and pay-as-you-go. Meanwhile, users face challenges in migration of serverless applications because of the lack of efficient algorithm for workflow memory configuration to optimize the performance. To this end, this article proposes a heuristic urgency-based algorithm UWC and a meta-heuristic hybrid algorithm BPSO to tackle the time-cost tradeoff. UWC sorts functions and allocates each function an appropriate memory size by greedy strategy. BPSO hybridizes particle swarm optimization as well as beetle antennae search algorithm to guide particles to search directionally and utilizes nonlinear inertia weight to avoid local premature convergence. Extensive experiments with classical serverless application demonstrate that UWC and BPSO are very competitive in comparison with existing algorithms as they can find the optimal workflow memory configuration. © 2022 John Wiley &amp; Sons, Ltd.</t>
  </si>
  <si>
    <t>constrained optimization; performance modeling; serverless computing; workflow memory configuration</t>
  </si>
  <si>
    <t>Particle swarm optimization (PSO); Cost-efficient; Memory configuration; Pay as you go; Performance Modeling; Serverless computing; Service platforms; Time cost; Work-flows; Workflow applications; Workflow memory configuration; Constrained optimization</t>
  </si>
  <si>
    <t>2-s2.0-85138508191</t>
  </si>
  <si>
    <t>Ristov S.; Pedratscher S.; Fahringer T.</t>
  </si>
  <si>
    <t>Ristov, Sasko (49561774300); Pedratscher, Stefan (57218883371); Fahringer, Thomas (7004334921)</t>
  </si>
  <si>
    <t>49561774300; 57218883371; 7004334921</t>
  </si>
  <si>
    <t>Serverless workflow applications or function choreographies (FCs), which connect serverless functions by data- and control-flow, have gained considerable momentum recently to create more sophisticated applications as part of Function-as-a-Service (FaaS) platforms. Initial experimental analysis of the current support for FCs uncovered important weaknesses, including provider lock-in, and limited support for important data-flow and control-flow constructs. To overcome some of these weaknesses, we introduce the Abstract Function Choreography Language (AFCL) for describing FCs at a high-level of abstraction, which abstracts the function implementations from the developer. AFCL is a YAML-based language that supports a rich set of constructs to express advanced control-flow (e.g. parallelFor loops, parallel sections, dynamic loop iterations counts) and data-flow (e.g multiple input and output parameters of functions, DAG-based data-flow). We introduce data collections which can be distributed to loop iterations and parallel sections that may substantially reduce the delays for function invocations due to reduced data transfers between functions. We also support asynchronous functions to avoid delays due to blocking functions. AFCL supports properties (e.g. expected size of function input data) and constraints (e.g. minimize execution time) for the user to optionally provide hints about the behavior of functions and FCs and to control the optimization by the underlying execution environment. We implemented a prototype AFCL environment that supports AFCL as input language with multiple backends (AWS Lambda and IBM Cloud Functions) thus avoiding provider lock-in which is a common problem in serverless computing. We created two realistic FCs from two different domains and encoded them with AWS Step Functions, IBM Composer and AFCL. Experimental results demonstrate that our current implementation of the AFCL environment substantially outperforms AWS Step Functions and IBM Composer in terms of development effort, economic costs, and makespan. © 2020 The Authors</t>
  </si>
  <si>
    <t>AWS Step Functions; Cost; FaaS; IBM Composer; Performance</t>
  </si>
  <si>
    <t>Data flow analysis; Data transfer; Locks (fasteners); Platform as a Service (PaaS); Advanced control flows; Choreography languages; Different domains; Execution environments; Experimental analysis; High level of abstraction; Workflow applications; Workflow specification; High level languages</t>
  </si>
  <si>
    <t>2-s2.0-85090599945</t>
  </si>
  <si>
    <t>Lee S.; Yoon D.; Yeo S.; Oh S.</t>
  </si>
  <si>
    <t>Lee, Seungjun (57220102901); Yoon, Daegun (57216711336); Yeo, Sangho (57202954374); Oh, Sangyoon (7404103685)</t>
  </si>
  <si>
    <t>57220102901; 57216711336; 57202954374; 7404103685</t>
  </si>
  <si>
    <t>Mitigating cold start problem in serverless computing with function fusion</t>
  </si>
  <si>
    <t>10.3390/s21248416</t>
  </si>
  <si>
    <t>As Artificial Intelligence (AI) is becoming ubiquitous in many applications, serverless computing is also emerging as a building block for developing cloud-based AI services. Serverless computing has received much interest because of its simplicity, scalability, and resource efficiency. However, due to the trade-off with resource efficiency, serverless computing suffers from the cold start problem, that is, a latency between a request arrival and function execution. The cold start problem significantly influences the overall response time of workflow that consists of functions because the cold start may occur in every function within the workflow. Function fusion can be one of the solutions to mitigate the cold start latency of a workflow. If two functions are fused into a single function, the cold start of the second function is removed; however, if parallel functions are fused, the workflow response time can be increased because the parallel functions run sequentially even if the cold start latency is reduced. This study presents an approach to mitigate the cold start latency of a workflow using function fusion while considering a parallel run. First, we identify three latencies that affect response time, present a workflow response time model considering the latency, and efficiently find a fusion solution that can optimize the response time on the cold start. Our method shows a response time of 28–86% of the response time of the original workflow in five workflows. © 2021 by the authors. Licensee MDPI, Basel, Switzerland.</t>
  </si>
  <si>
    <t>Function fusion; Serverless computing; Serverless workflow</t>
  </si>
  <si>
    <t>Artificial Intelligence; Software; Workflow; Economic and social effects; Ubiquitous computing; Building blockes; Cloud-based; Cold start problems; Cold-start; Function fusion; Parallel functions; Resource efficiencies; Serverless computing; Serverless workflow; Work-flows; artificial intelligence; software; workflow; Efficiency</t>
  </si>
  <si>
    <t>2-s2.0-85121101213</t>
  </si>
  <si>
    <t>Kehrer S.; Zietlow D.; Scheffold J.; Blochinger W.</t>
  </si>
  <si>
    <t>Kehrer, Stefan (57191738906); Zietlow, Dominik (57210450777); Scheffold, Jochen (57218263479); Blochinger, Wolfgang (6602423536)</t>
  </si>
  <si>
    <t>57191738906; 57210450777; 57218263479; 6602423536</t>
  </si>
  <si>
    <t>Self-tuning serverless task farming using proactive elasticity control</t>
  </si>
  <si>
    <t>10.1007/s10586-020-03158-3</t>
  </si>
  <si>
    <t>The cloud evolved into an attractive execution environment for parallel applications, which make use of compute resources to speed up the computation of large problems in science and industry. Whereas Infrastructure as a Service (IaaS) offerings have been commonly employed, more recently, serverless computing emerged as a novel cloud computing paradigm with the goal of freeing developers from resource management issues. However, as of today, serverless computing platforms are mainly used to process computations triggered by events or user requests that can be executed independently of each other and benefit from on-demand and elastic compute resources as well as per-function billing. In this work, we discuss how to employ serverless computing platforms to operate parallel applications. We specifically focus on the class of parallel task farming applications and introduce a novel approach to free developers from both parallelism and resource management issues. Our approach includes a proactive elasticity controller that adapts the physical parallelism per application run according to user-defined goals. Specifically, we show how to consider a user-defined execution time limit after which the result of the computation needs to be present while minimizing the associated monetary costs. To evaluate our concepts, we present a prototypical elastic parallel system architecture for self-tuning serverless task farming and implement two applications based on our framework. Moreover, we report on performance measurements for both applications as well as the prediction accuracy of the proposed proactive elasticity control mechanism and discuss our key findings. © 2020, Springer Science+Business Media, LLC, part of Springer Nature.</t>
  </si>
  <si>
    <t>Cloud computing; Elasticity; Function-as-a-service; Parallel cloud programming; Parallel computing; Programming model</t>
  </si>
  <si>
    <t>Elasticity; Natural resources management; Resource allocation; Computing platform; Control mechanism; Execution environments; Parallel application; Parallel system architecture; Performance measurements; Prediction accuracy; Resource management; Infrastructure as a service (IaaS)</t>
  </si>
  <si>
    <t>2-s2.0-85088506275</t>
  </si>
  <si>
    <t>Banaei A.; Sharifi M.</t>
  </si>
  <si>
    <t>Banaei, Ali (57267596600); Sharifi, Mohsen (7006324593)</t>
  </si>
  <si>
    <t>57267596600; 7006324593</t>
  </si>
  <si>
    <t>ETAS: predictive scheduling of functions on worker nodes of Apache OpenWhisk platform</t>
  </si>
  <si>
    <t>10.1007/s11227-021-04057-z</t>
  </si>
  <si>
    <t>Fast execution of functions is an inevitable challenge in the serverless computing landscape. Inefficient dispatching, fluctuations in invocation rates, burstiness of workloads, and wide range of execution times of serverless functions result in load imbalances and overloading of worker nodes of serverless platforms that impose high latency on invocations. This paper is concentrated on function scheduling within worker nodes of Apache OpenWhisk serverless platform and presents ETAS, a predictive scheduling scheme to reduce response times of invocations besides increasing workers throughputs and resource utilizations. ETAS schedules functions using their execution times, estimated by their previous execution’s history, arrival times, and containers’ status. We have implemented ETAS in Apache OpenWhisk and show that, compared to the OpenWhisk worker scheduler and several queue scheduling schemes, ETAS outperforms others by reducing the average waiting time by 30% and increasing the throughput by 40%. © 2021, The Author(s), under exclusive licence to Springer Science+Business Media, LLC, part of Springer Nature.</t>
  </si>
  <si>
    <t>Apache OpenWhisk; Function scheduling; Latency; Predictive scheduling; Serverless computing platforms</t>
  </si>
  <si>
    <t>Apache openwhisk; Burstiness; Computing platform; Function scheduling; Latency; Predictive scheduling; Scheduling schemes; Serverless computing platform; Worker nodes; Workers'; Scheduling</t>
  </si>
  <si>
    <t>2-s2.0-85115368266</t>
  </si>
  <si>
    <t>Khan A.A.; Shaikh Z.A.; Baitenova L.; Mutaliyeva L.; Moiseev N.; Mikhaylov A.; Laghari A.A.; Idris S.A.; Alshazly H.</t>
  </si>
  <si>
    <t>Khan, Abdullah Ayub (57223873126); Shaikh, Zaffar Ahmed (35729020800); Baitenova, Laura (55428546500); Mutaliyeva, Lyailya (56100487400); Moiseev, Nikita (56699755300); Mikhaylov, Alexey (57214766800); Laghari, Asif Ali (57192411704); Idris, Sahar Ahmed (57226267577); Alshazly, Hammam (56537040500)</t>
  </si>
  <si>
    <t>57223873126; 35729020800; 55428546500; 56100487400; 56699755300; 57214766800; 57192411704; 57226267577; 56537040500</t>
  </si>
  <si>
    <t>QoS-ledger: Smart contracts and metaheuristic for secure quality-of-service and cost-efficient scheduling of medical-data processing</t>
  </si>
  <si>
    <t>10.3390/electronics10243083</t>
  </si>
  <si>
    <t>Quality-of-service (QoS) is the term used to evaluate the overall performance of a service. In healthcare applications, efficient computation of QoS is one of the mandatory requirements during the processing of medical records through smart measurement methods. Medical services often involve the transmission of demanding information. Thus, there are stringent requirements for se-cure, intelligent, public-network quality-of-service. This paper contributes to three different aspects. First, we propose a novel metaheuristic approach for medical cost-efficient task schedules, where an intelligent scheduler manages the tasks, such as the rate of service schedule, and lists items uti-lized by users during the data processing and computation through the fog node. Second, the QoS efficient-computation algorithm, which effectively monitors performance according to the indicator (parameter) with the analysis mechanism of quality-of-experience (QoE), has been developed. Third, a framework of blockchain-distributed technology-enabled QoS (QoS-ledger) computation in healthcare applications is proposed in a permissionless public peer-to-peer (P2P) network, which stores medical processed information in a distributed ledger. We have designed and deployed smart contracts for secure medical-data transmission and processing in serverless peering networks and handled overall node-protected interactions and preserved logs in a blockchain distributed ledger. The simulation result shows that QoS is computed on the blockchain public network with transmission power = average of −10 to −17 dBm, jitter = 34 ms, delay = average of 87 to 95 ms, throughput = 185 bytes, duty cycle = 8%, route of delivery and response back variable. Thus, the proposed QoS-ledger is a potential candidate for the computation of quality-of-service that is not limited to e-healthcare distributed applications. © 2021 by the authors. Li-censee MDPI, Basel, Switzerland.</t>
  </si>
  <si>
    <t>Blockchain; Cost-effective scheduling; E-healthcare applications; Metaheuristic; Quality-of-service (QoS); Smart contracts</t>
  </si>
  <si>
    <t>2-s2.0-85120825648</t>
  </si>
  <si>
    <t>Pelle I.; Szalay M.; Czentye J.; Sonkoly B.; Toka L.</t>
  </si>
  <si>
    <t>Pelle, István (57188651999); Szalay, Márk (57188813481); Czentye, János (55553864000); Sonkoly, Balázs (6505667403); Toka, László (23391322500)</t>
  </si>
  <si>
    <t>57188651999; 57188813481; 55553864000; 6505667403; 23391322500</t>
  </si>
  <si>
    <t>Cost and Latency Optimized Edge Computing Platform</t>
  </si>
  <si>
    <t>10.3390/electronics11040561</t>
  </si>
  <si>
    <t>Latency-critical applications, e.g., automated and assisted driving services, can now be deployed in fog or edge computing environments, offloading energy-consuming tasks from end devices. Besides the proximity, though, the edge computing platform must provide the necessary operation techniques in order to avoid added delays by all means. In this paper, we propose an integrated edge platform that comprises orchestration methods with such objectives, in terms of handling the deployment of both functions and data. We show how the integration of the function orchestration solution with the adaptive data placement of a distributed key–value store can lead to decreased end-to-end latency even when the mobility of end devices creates a dynamic set of requirements. Along with the necessary monitoring features, the proposed edge platform is capable of serving the nomad users of novel applications with low latency requirements. We showcase this capability in several scenarios, in which we articulate the end-to-end latency performance of our platform by comparing delay measurements with the benchmark of a Redis-based setup lacking the adaptive nature of data orchestration. Our results prove that the stringent delay requisites necessitate the close integration that we present in this paper: functions and data must be orchestrated in sync in order to fully exploit the potential that the proximity of edge resources enables. © 2022 by the authors. Licensee MDPI, Basel, Switzerland.</t>
  </si>
  <si>
    <t>Cloud native; Data locality; Distributed data store; Edge computing; FaaS; Function-as-a-Service; Greengrass; Lambda; Redis; Serverless</t>
  </si>
  <si>
    <t>2-s2.0-85124334818</t>
  </si>
  <si>
    <t>Li D.; Duan J.; Yao Y.; Qian S.; Zhou J.; Xue G.; Cao J.</t>
  </si>
  <si>
    <t>Li, Dazhi (35069769400); Duan, Jiaang (57219421542); Yao, Yan (55861374400); Qian, Shiyou (55322690200); Zhou, Jie (57193348771); Xue, Guangtao (7202468123); Cao, Jian (57218980017)</t>
  </si>
  <si>
    <t>35069769400; 57219421542; 55861374400; 55322690200; 57193348771; 7202468123; 57218980017</t>
  </si>
  <si>
    <t>SoDa: A Serverless-Oriented Deadline-Aware Workflow Scheduling Engine for IoT Applications in Edge Clouds</t>
  </si>
  <si>
    <t>Wireless Communications and Mobile Computing</t>
  </si>
  <si>
    <t>10.1155/2022/7862911</t>
  </si>
  <si>
    <t>As a coordination tool, workflow with a large number of interdependent tasks has increasingly become a new paradigm for orchestrating computationally intensive tasks in large-scale and complex Internet of Things (IoT) applications. Serverless computing has also recently been applied to real-world problems at the network edge as well, primarily aimed at event based IoT applications. However, the existing workflow scheduling algorithm based on the virtual machine resource model is inefficient in ensuring the QoS (Quality of Service) of users on the serverless platform. In this paper, we design an elastic workflow scheduling framework in edge clouds called EWSF based on the serverless architecture. In addition, we propose a serverless-oriented deadline-aware workflow scheduling algorithm called SoDa. Furthermore, we implemented the EWSF prototype based on Knative and Kubernetes and integrated SoDa as the scheduling engine. The performance of SoDa has been verified on the experimental platform in comparison with six counterparts. The experiment results show that SoDa adapts to various scheduling environments and achieves better performance in terms of overall makespan and execution success rate. In the case of tight cluster resources, SoDa improves the overall makespan and success rate by 10.4% and 55%, respectively, compared with the second-best algorithm.  © 2022 Dazhi Li et al.</t>
  </si>
  <si>
    <t>Cluster computing; Clustering algorithms; Coordination reactions; Engines; Quality of service; Scheduling; Scheduling algorithms; Deadline-aware; Edge clouds; Inter-dependent tasks; Large-scales; Makespan; Network edges; Performance; Real-world problem; Work-flows; Workflow scheduling; Internet of things</t>
  </si>
  <si>
    <t>2-s2.0-85140137198</t>
  </si>
  <si>
    <t>Gorlatova M.; Inaltekin H.; Chiang M.</t>
  </si>
  <si>
    <t>Gorlatova, Maria (24775927000); Inaltekin, Hazer (6506889202); Chiang, Mung (7102873398)</t>
  </si>
  <si>
    <t>24775927000; 6506889202; 7102873398</t>
  </si>
  <si>
    <t>Fog computing, which distributes computing resources to multiple locations between the Internet of Things (IoT) devices and the cloud, is attracting considerable attention from academia and industry. Yet, despite the excitement about the potential of fog computing, few comprehensive studies quantitatively characterizing the properties of fog computing architectures have been conducted. In this paper we examine the statistical properties of fog computing task completion latencies, which are important to understand to develop algorithms that match IoT nodes’ tasks with the best execution points within the fog computing substrate. Towards characterizing task completion latencies, we developed and deployed a set of benchmarks in 6 different locations, which included local nodes of different grades, conventional cloud computing services in two different regions, and Amazon Web Services (AWS) and Microsoft Azure serverless computing options. Using the developed infrastructure, we conducted a series of targeted experiments with a node invoking our benchmarks from different locations and in different conditions. The empirical study elucidated several important properties of task execution latencies, including latency variation across different execution points and execution options, and stability with respect to time. The study also demonstrated important properties of serverless execution options, and showed that statistical structure of computing latencies can be accurately characterized based on a small number (only 10–50) of latency samples. The complete measurement set we have captured as part of this study is publicly available. © 2020 Elsevier B.V.</t>
  </si>
  <si>
    <t>Fog computing; Latency; Measurement study; Serverless computing; Smart gateway</t>
  </si>
  <si>
    <t>Fog; Internet of things; Location; Web services; Windows operating system; Amazon web services; Cloud computing services; Computing architecture; Computing substrates; Internet of thing (IOT); Latency variations; Statistical properties; Statistical structures; Fog computing</t>
  </si>
  <si>
    <t>2-s2.0-85090868102</t>
  </si>
  <si>
    <t>Mondal S.K.; Pan R.; Kabir H.M.D.; Tian T.; Dai H.-N.</t>
  </si>
  <si>
    <t>Mondal, Subrota Kumar (56428522000); Pan, Rui (57426903800); Kabir, H M Dipu (36975509100); Tian, Tan (57427047400); Dai, Hong-Ning (55602606800)</t>
  </si>
  <si>
    <t>56428522000; 57426903800; 36975509100; 57427047400; 55602606800</t>
  </si>
  <si>
    <t>Kubernetes in IT administration and serverless computing: An empirical study and research challenges</t>
  </si>
  <si>
    <t>10.1007/s11227-021-03982-3</t>
  </si>
  <si>
    <t>Today’s industry has gradually realized the importance of lifting efficiency and saving costs during the life-cycle of an application. In particular, we see that most of the cloud-based applications and services often consist of hundreds of micro-services; however, the traditional monolithic pattern is no longer suitable for today’s development life-cycle. This is due to the difficulties of maintenance, scale, load balance, and many other factors associated with it. Consequently, people switch their focus on containerization—a lightweight virtualization technology. The saving grace is that it can use machine resources more efficiently than the virtual machine (VM). In VM, a guest OS is required to simulate on the host machine, whereas containerization enables applications to share a common OS. Furthermore, containerization facilitates users to create, delete, or deploy containers effortlessly. In order to manipulate and manage the multiple containers, the leading Cloud providers introduced the container orchestration platforms, such as Kubernetes, Docker Swarm, Nomad, and many others. In this paper, a rigorous study on Kubernetes from an administrator’s perspective is conducted. In a later stage, serverless computing paradigm was redefined and integrated with Kubernetes to accelerate the development of software applications. Theoretical knowledge and experimental evaluation show that this novel approach can be accommodated by the developers to design software architecture and development more efficiently and effectively by minimizing the cost charged by public cloud providers (such as AWS, GCP, Azure). However, serverless functions are attached with several issues, such as security threats, cold start problem, inadequacy of function debugging, and many other. Consequently, the challenge is to find ways to address these issues. However, there are difficulties and hardships in addressing all the issues altogether. Respectively, in this paper, we simply narrow down our analysis toward the security aspects of serverless. In particular, we quantitatively measure the success probability of attack in serverless (using Attack Tree and Attack–Defense Tree) with the possible attack scenarios and the related countermeasures. Thereafter, we show how the quantification can reflect toward the end-to-end security enhancement. In fine, this study concludes with research challenges such as the burdensome and error-prone steps of setting the platform, and investigating the existing security vulnerabilities of serverless computing, and possible future directions. © 2021, The Author(s), under exclusive licence to Springer Science+Business Media, LLC, part of Springer Nature.</t>
  </si>
  <si>
    <t>Attack tree; Container; Container orchestration; FaaS; Kubernetes; Security; Serverless computing</t>
  </si>
  <si>
    <t>Application programs; Costs; Forestry; Life cycle; Network security; Software design; Virtual machine; Attack tree; Cloud providers; Container orchestration; Empirical research; Empirical studies; Faas; Kubernetes; Research challenges; Security; Serverless computing; Containers</t>
  </si>
  <si>
    <t>2-s2.0-85123475646</t>
  </si>
  <si>
    <t>Scheuner J.; Leitner P.</t>
  </si>
  <si>
    <t>Scheuner, Joel (56737196000); Leitner, Philipp (18037605900)</t>
  </si>
  <si>
    <t>56737196000; 18037605900</t>
  </si>
  <si>
    <t>Function-as-a-Service (FaaS) is one form of the serverless cloud computing paradigm and is defined through FaaS platforms (e.g., AWS Lambda) executing event-triggered code snippets (i.e., functions). Many studies that empirically evaluate the performance of such FaaS platforms have started to appear but we are currently lacking a comprehensive understanding of the overall domain. To address this gap, we conducted a multivocal literature review (MLR) covering 112 studies from academic (51) and grey (61) literature. We find that existing work mainly studies the AWS Lambda platform and focuses on micro-benchmarks using simple functions to measure CPU speed and FaaS platform overhead (i.e., container cold starts). Further, we discover a mismatch between academic and industrial sources on tested platform configurations, find that function triggers remain insufficiently studied, and identify HTTP API gateways and cloud storages as the most used external service integrations. Following existing guidelines on experimentation in cloud systems, we discover many flaws threatening the reproducibility of experiments presented in the surveyed studies. We conclude with a discussion of gaps in literature and highlight methodological suggestions that may serve to improve future FaaS performance evaluation studies. © 2020 The Authors</t>
  </si>
  <si>
    <t>Benchmarking; Cloud computing; Function-as-a-Service; Multivocal literature review; Performance; Serverless</t>
  </si>
  <si>
    <t>Platform as a Service (PaaS); Storage as a service (STaaS); Evaluation study; Event-triggered; Industrial sources; Literature reviews; Micro-benchmark; Reproducibilities; Service integration; Service performance evaluation; Function evaluation</t>
  </si>
  <si>
    <t>2-s2.0-85088384495</t>
  </si>
  <si>
    <t>Tsagkaropoulos A.; Verginadis Y.; Compastié M.; Apostolou D.; Mentzas G.</t>
  </si>
  <si>
    <t>Tsagkaropoulos, Andreas (57202324177); Verginadis, Yiannis (24077379900); Compastié, Maxime (57193327776); Apostolou, Dimitris (8703209000); Mentzas, Gregoris (6604033340)</t>
  </si>
  <si>
    <t>57202324177; 24077379900; 57193327776; 8703209000; 6604033340</t>
  </si>
  <si>
    <t>Extending TOSCA for edge and fog deployment support</t>
  </si>
  <si>
    <t>10.3390/electronics10060737</t>
  </si>
  <si>
    <t>The emergence of fog and edge computing has complemented cloud computing in the design of pervasive, computing-intensive applications. The proximity of fog resources to data sources has contributed to minimizing network operating expenditure and has permitted latency-aware processing. Furthermore, novel approaches such as serverless computing change the structure of applications and challenge the monopoly of traditional Virtual Machine (VM)-based applications. However, the efforts directed to the modeling of cloud applications have not yet evolved to exploit these breakthroughs and handle the whole application lifecycle efficiently. In this work, we present a set of Topology and Orchestration Specification for Cloud Applications (TOSCA) extensions to model applications relying on any combination of the aforementioned technologies. Our approach features a design-time “type-level” flavor and a run time “instance-level” flavor. The introduction of semantic enhancements and the use of two TOSCA flavors enables the optimization of a candidate topology before its deployment. The optimization modeling is achieved using a set of constraints, requirements, and criteria independent from the underlying hosting infrastructure (i.e., clouds, multi-clouds, edge devices). Furthermore, we discuss the advantages of such an approach in comparison to other notable cloud application deployment approaches and provide directions for future research. © 2021 by the authors. Licensee MDPI, Basel, Switzerland.</t>
  </si>
  <si>
    <t>Cloud applications; Cloud computing; Fog computing; Function-as-a-service; Model-driven engineering; TOSCA</t>
  </si>
  <si>
    <t>2-s2.0-85102693785</t>
  </si>
  <si>
    <t>Secure FaaS orchestration in the fog: how far are we?</t>
  </si>
  <si>
    <t>10.1007/s00607-021-00924-y</t>
  </si>
  <si>
    <t>Function-as-a-Service (FaaS) allows developers to define, orchestrate and run modular event-based pieces of code on virtualised resources, without the burden of managing the underlying infrastructure nor the life-cycle of such pieces of code. Indeed, FaaS providers offer resource auto-provisioning, auto-scaling and pay-per-use billing at no costs for idle time. This makes it easy to scale running code and it represents an effective and increasingly adopted way to deliver software. This article aims at offering an overview of the existing literature in the field of next-gen FaaS from three different perspectives: (i) the definition of FaaS orchestrations, (ii) the execution of FaaS orchestrations in Fog computing environments, and (iii) the security of FaaS orchestrations. Our analysis identify trends and gaps in the literature, paving the way to further research on securing FaaS orchestrations in Fog computing landscapes. © 2021, The Author(s).</t>
  </si>
  <si>
    <t>Cloud computing; FaaS; Fog Computing; Security; Serverless</t>
  </si>
  <si>
    <t>Fog; Infrastructure as a service (IaaS); Life cycle; Computing environments; Event-based; Idle time; Pay-per-use; Fog computing</t>
  </si>
  <si>
    <t>2-s2.0-85102383876</t>
  </si>
  <si>
    <t>Rausch T.; Rashed A.; Dustdar S.</t>
  </si>
  <si>
    <t>Rausch, Thomas (8582596600); Rashed, Alexander (57218219414); Dustdar, Schahram (6701473617)</t>
  </si>
  <si>
    <t>8582596600; 57218219414; 6701473617</t>
  </si>
  <si>
    <t>Operating data-intensive applications on edge systems is challenging, due to the extreme workload and device heterogeneity, as well as the geographic dispersion of compute and storage infrastructure. Serverless computing has emerged as a compelling model to manage the complexity of such systems, by decoupling the underlying infrastructure and scaling mechanisms from applications. Although serverless platforms have reached a high level of maturity, we have found several limiting factors that inhibit their use in an edge setting. This paper presents a container scheduling system that enables such platforms to make efficient use of edge infrastructures. Our scheduler makes heuristic trade-offs between data and computation movement, and considers workload-specific compute requirements such as GPU acceleration. Furthermore, we present a method to automatically fine-tune the weights of scheduling constraints to optimize high-level operational objectives such as minimizing task execution time, uplink usage, or cloud execution cost. We implement a prototype that targets the container orchestration system Kubernetes, and deploy it on an edge testbed we have built. We evaluate our system with trace-driven simulations in different infrastructure scenarios, using traces generated from running representative workloads on our testbed. Our results show that (a) our scheduler significantly improves the quality of task placement compared to the state-of-the-art scheduler of Kubernetes, and (b) our method for fine-tuning scheduling parameters helps significantly in meeting operational goals. © 2020</t>
  </si>
  <si>
    <t>Container scheduling; Edge computing; Machine learning; Serverless</t>
  </si>
  <si>
    <t>Constrained optimization; Containers; Digital storage; Economic and social effects; Edge computing; Testbeds; Container scheduling; Device heterogeneities; Geographic dispersion; Scaling mechanism; Scheduling constraints; Scheduling parameters; Storage infrastructure; Trace driven simulation; Scheduling</t>
  </si>
  <si>
    <t>2-s2.0-85089211404</t>
  </si>
  <si>
    <t>Cicconetti C.; Conti M.; Passarella A.</t>
  </si>
  <si>
    <t>Cicconetti, Claudio (22033885800); Conti, Marco (35301557300); Passarella, Andrea (16040663300)</t>
  </si>
  <si>
    <t>22033885800; 35301557300; 16040663300</t>
  </si>
  <si>
    <t>Architecture and performance evaluation of distributed computation offloading in edge computing</t>
  </si>
  <si>
    <t>10.1016/j.simpat.2019.102007</t>
  </si>
  <si>
    <t>Edge computing is an emerging paradigm to enable low-latency applications, like mobile augmented reality, because it takes the computation on processing devices that are closer to the users. On the other hand, the need for highly scalable execution of stateless tasks for cloud systems is driving the definition of new technologies based on serverless computing. In this paper, we propose a novel architecture where the two converge to enable low-latency applications: This is achieved by offloading short-lived stateless tasks from the user terminals to edge nodes. Furthermore, we design a distributed algorithm that tackles the research challenge of selecting the best executor, based on real-time measurements and simple, yet effective, prediction algorithms. Finally, we describe a new performance evaluation framework specifically designed for an accurate assessment of algorithms and protocols in edge computing environments, where the nodes may have very heterogeneous networking and processing capabilities. The proposed framework relies on the use of real components on lightweight virtualization mixed with simulated computation and is well-suited to the analysis of several applications and network environments. Using our framework, we evaluate our proposed architecture and algorithms in small- and large-scale edge computing scenarios, showing that our solution achieves similar or better delay performance than a centralized solution, with far less network utilization. © 2019 Elsevier B.V.</t>
  </si>
  <si>
    <t>Computation offloading; Edge computing; Online job dispatching; Performance evaluation; Serverless computing</t>
  </si>
  <si>
    <t>Augmented reality; Edge computing; Network architecture; Algorithms and protocols; Architecture and performance; Computation offloading; Heterogeneous networking; Job-dispatching; Performance evaluation; Performance evaluation frameworks; Serverless computing; Computer architecture</t>
  </si>
  <si>
    <t>2-s2.0-85073825877</t>
  </si>
  <si>
    <t>Yuvaraj N.; Karthikeyan T.; Praghash K.</t>
  </si>
  <si>
    <t>Yuvaraj, N. (59000706300); Karthikeyan, T. (56564122200); Praghash, K. (57200398463)</t>
  </si>
  <si>
    <t>59000706300; 56564122200; 57200398463</t>
  </si>
  <si>
    <t>An Improved Task Allocation Scheme in Serverless Computing Using Gray Wolf Optimization (GWO) Based Reinforcement Learning (RIL) Approach</t>
  </si>
  <si>
    <t>10.1007/s11277-020-07981-0</t>
  </si>
  <si>
    <t>Serverless computing offers a wide variety of event-driven integrations and cloud services, easy development and implementation frameworks, and complex balancing and control of costs. With these benefits into consideration, the growing implementation of serverless systems means that the performance of the serverless system is measured and new techniques created to maximize the potential of the software. The serverless or system runtime features have shown major performance and cost advantages for event-driven cloud applications. While serverless runtimes are limited to applications requiring lightweight data and storage, such as the prediction and inference of machine learning, these applications have been improved beyond other cloud runtimes. In this paper, we propose a machine learning model to parallelize the jobs allocated to the event queue and the dispatcher of the serverless framework. We hence use Gray Wolf Optimization (GWO) model to improve the process of task allocation. Further, to optimize GWO, we use the Reinforcement Learning (RIL) approach that simultaneously optimizes the parameters of GWO and improves the task allocation. The simulation studies show that the proposed GWO-RIL offers reduced runtimes and it adapts with varying load conditions. © 2020, Springer Science+Business Media, LLC, part of Springer Nature.</t>
  </si>
  <si>
    <t>Gray Wolf Optimization (GWO); Reinforcement Learning (RL); Resource allocation; Run time; Serverless computing</t>
  </si>
  <si>
    <t>Balancing; Digital storage; Reinforcement learning; Turing machines; Cloud applications; Cloud services; Cost advantages; Machine learning models; Serverless systems; Simulation studies; Task allocation; Varying load; Learning systems</t>
  </si>
  <si>
    <t>2-s2.0-85096320545</t>
  </si>
  <si>
    <t>Edge computing is a promising solution to enable low-latency Internet of Things (IoT) applications, by shifting computation from remote data centers to local devices, less powerful but closer to the end user devices. However, this creates the challenge on how to best assign clients to edge nodes offering compute capabilities. So far, two antithetical architectures are proposed: centralized resource orchestration or distributed overlay. In this work we explore a third way, called uncoordinated access, which consists in letting every device exploring multiple opportunities, to opportunistically embrace the heterogeneity of network and load conditions towards diverse edge nodes. In particular, our contribution is intended for emerging serverless IoT applications, which do not have a state on the edge nodes executing tasks. We model the proposed system as a set of M/M/1 queues and show that it achieves a smaller delay than single edge node allocation. Furthermore, we compare uncoordinated access with state-of-the-art centralized and distributed alternatives in testbed experiments under more realistic conditions. Based on the results, our proposed approach, which requires a tiny fraction of the complexity of the alternatives in both the device and network components, is very effective in using the network resources, while incurring only a small penalty in terms of increased compute load and high percentiles of delay. © 2020 Elsevier B.V.</t>
  </si>
  <si>
    <t>Computation offloading; Distributed cloud; Internet of Things; Mobile Edge Computing; Online job dispatching; Performance evaluation; Serverless computing</t>
  </si>
  <si>
    <t>Edge computing; Web browsers; Computation offloading; Distributed clouds; Job-dispatching; Performance evaluation; Serverless computing; Internet of things</t>
  </si>
  <si>
    <t>2-s2.0-85081027665</t>
  </si>
  <si>
    <t>Ergüzen A.; ünver M.</t>
  </si>
  <si>
    <t>Ergüzen, Atilla (55220129000); ünver, Mahmut (57202376628)</t>
  </si>
  <si>
    <t>55220129000; 57202376628</t>
  </si>
  <si>
    <t>Developing a file system structure to solve healthy big data storage and archiving problems using a distributed file system</t>
  </si>
  <si>
    <t>10.3390/app8060913</t>
  </si>
  <si>
    <t>Recently, the use of internet has become widespread, increasing the use of mobile phones, tablets, computers, Internet of Things (IoT) devices and other digital sources. In the health sector with the help of new generation digital medical equipment, this digital world also has tended to grow in an unpredictable way in that it has nearly 10% of the global wide data itself and continues to keep grow beyond what the other sectors have. This progress has greatly enlarged the amount of produced data which cannot be resolved with conventional methods. In this work, an efficient model for the storage of medical images using a distributed file system structure has been developed. With this work, a robust, available, scalable, and serverless solution structure has been produced, especially for storing large amounts of data in the medical field. Furthermore, the security level of the system is extreme by use of static Internet protocol (IP), user credentials, and synchronously encrypted file contents. One of the most important key features of the system is high performance and easy scalability. In this way, the system can work with fewer hardware elements and be more robust than others that use name node architecture. According to the test results, it is seen that the performance of the designed system is better than 97% from a Not Only Structured Query Language (NoSQL) system, 80% from a relational database management system (RDBMS), and 74% from an operating system (OS). © 2018 by the authors.</t>
  </si>
  <si>
    <t>Big data; Distributed file system; Health data; Medical imaging</t>
  </si>
  <si>
    <t>2-s2.0-85048127631</t>
  </si>
  <si>
    <t>Boza E.F.; Andrade X.; Cedeno J.; Murillo J.; Aragon H.; Abad C.L.; Abad A.G.</t>
  </si>
  <si>
    <t>Boza, Edwin F. (57196238001); Andrade, Xavier (57317007800); Cedeno, Jorge (57195291369); Murillo, Jorge (57200410856); Aragon, Harold (57209223551); Abad, Cristina L. (22957218500); Abad, Andres G. (55965684700)</t>
  </si>
  <si>
    <t>57196238001; 57317007800; 57195291369; 57200410856; 57209223551; 22957218500; 55965684700</t>
  </si>
  <si>
    <t>On implementing autonomic systems with a serverless computing approach: The case of self-partitioning cloud caches</t>
  </si>
  <si>
    <t>10.3390/computers9010014</t>
  </si>
  <si>
    <t>The research community has made significant advances towards realizing self-tuning cloud caches; notwithstanding, existing products still require manual expert tuning to maximize performance. Cloud (software) caches are built to swiftly serve requests; thus, avoiding costly functionality additions not directly related to the request-serving control path is critical. We show that serverless computing cloud services can be leveraged to solve the complex optimization problems that arise during self-tuning loops and can be used to optimize cloud caches for free. To illustrate that our approach is feasible and useful, we implement SPREDS (Self-Partitioning REDiS), a modified version of Redis that optimizes memory management in the multi-instance Redis scenario. A cost analysis shows that the serverless computing approach can lead to significant cost savings: The cost of running the controller as a serverless microservice is 0.85% of the cost of the always-on alternative. Through this case study, we make a strong case for implementing the controller of autonomic systems using a serverless computing approach. © 2020 by the authors. Licensee MDPI, Basel, Switzerland.</t>
  </si>
  <si>
    <t>Autonomic controller; Cloud computing; Self-tuning; Serverless computing</t>
  </si>
  <si>
    <t>2-s2.0-85082706073</t>
  </si>
  <si>
    <t>Enes J.; Expósito R.R.; Touriño J.</t>
  </si>
  <si>
    <t>Enes, Jonatan (57200525354); Expósito, Roberto R. (43461218100); Touriño, Juan (6603620265)</t>
  </si>
  <si>
    <t>57200525354; 43461218100; 6603620265</t>
  </si>
  <si>
    <t>BDWatchdog: Real-time monitoring and profiling of Big Data applications and frameworks</t>
  </si>
  <si>
    <t>10.1016/j.future.2017.12.068</t>
  </si>
  <si>
    <t>Current Big Data applications are characterized by a heavy use of system resources (e.g., CPU, disk) generally distributed across a cluster. To effectively improve their performance there is a critical need for an accurate analysis of both Big Data workloads and frameworks. This means to fully understand how the system resources are being used in order to identify potential bottlenecks, from resource to code bottlenecks. This paper presents BDWatchdog, a novel framework that allows real-time and scalable analysis of Big Data applications by combining time series for resource monitorization and flame graphs for code profiling, focusing on the processes that make up the workload rather than the underlying instances on which they are executed. This shift from the traditional system-based monitorization to a process-based analysis is interesting for new paradigms such as software containers or serverless computing, where the focus is put on applications and not on instances. BDWatchdog has been evaluated on a Big Data cloud-based service deployed at the CESGA supercomputing center. The experimental results show that a process-based analysis allows for a more effective visualization and overall improves the understanding of Big Data workloads. BDWatchdog is publicly available at http://bdwatchdog.dec.udc.es. © 2018 Elsevier B.V.</t>
  </si>
  <si>
    <t>Big data; Flame graphs; Monitoring; Process-based analysis; Profiling; Time series</t>
  </si>
  <si>
    <t>Application programs; Data visualization; Graph theory; Monitoring; Time series; Time series analysis; Big data applications; Flame graphs; Process-based; Profiling; Real time monitoring; Scalable analysis; Supercomputing centers; Traditional systems; Big data</t>
  </si>
  <si>
    <t>2-s2.0-85041503801</t>
  </si>
  <si>
    <t>Soltani B.; Ghenai A.; Zeghib N.</t>
  </si>
  <si>
    <t>Soltani, Boubaker (57203357253); Ghenai, Afifa (57103810200); Zeghib, Nadia (6505842609)</t>
  </si>
  <si>
    <t>57203357253; 57103810200; 6505842609</t>
  </si>
  <si>
    <t>Execution of Long-Duration Multi-Cloud Serverless Functions Using Selective Migration-Based Approach</t>
  </si>
  <si>
    <t>10.4018/IJCAC.2020100105</t>
  </si>
  <si>
    <t>A relatively new paradigm for the Cloud-based software deployment is serverless computing. By adopting stateless loosely-coupled functions, the system can obtain many compositions for several purposes. Contrarily to monolithic approach, serverless computing facilitates the evolution of the applications, since the functions may be independently scheduled for reconstitution. Nevertheless, serverless computing dictates that function execution should be within a short duration (five minutes max in most Cloud platforms), after which the function is abruptly ended even if it has not completed its task. This leads to prevent functions requiring longer time from being adopted as Serverless functions. This paper deals with this drawback. It proposes a migration-based approach that promotes the execution of long-duration serverless functions: each running function that reaches the maximum time limit is repeatedly transferred to another cloud platform where it is carried on. At each migration step, the destination cloud is selected regarding the most relevant criteria. Copyright © 2020, IGI Global.</t>
  </si>
  <si>
    <t>Cloud Computing; Cloud Selection; Long-Running Functions; Migration; Serverless Architecture</t>
  </si>
  <si>
    <t>2-s2.0-85125152498</t>
  </si>
  <si>
    <t>Wimmer C.; Stancu C.; Hofer P.; Jovanovic V.; Wogerer P.; Kessler P.B.; Pliss O.; Wurthinger T.</t>
  </si>
  <si>
    <t>Wimmer, Christian (57000834200); Stancu, Codrut (57156155700); Hofer, Peter (56145922200); Jovanovic, Vojin (57196886007); Wogerer, Paul (57356422000); Kessler, Peter B. (56650024900); Pliss, Oleg (57204434732); Wurthinger, Thomas (23986758100)</t>
  </si>
  <si>
    <t>57000834200; 57156155700; 56145922200; 57196886007; 57356422000; 56650024900; 57204434732; 23986758100</t>
  </si>
  <si>
    <t>Initialize once, start fast: Application initialization at build time</t>
  </si>
  <si>
    <t>10.1145/3360610</t>
  </si>
  <si>
    <t>Arbitrary program extension at run time in language-based VMs, e.g., Java's dynamic class loading, comes at a startup cost: High memory footprint and slow warmup. Cloud computing amplifies the startup overhead. Microservices and serverless cloud functions lead to small, self-contained applications that are started often. Slow startup and high memory footprint directly affect the cloud hosting costs, and slow startup can also break service-level agreements. Many applications are limited to a prescribed set of pre-tested classes, i.e., use a closed-world assumption at deployment time. For such Java applications, GraalVM Native Image offers fast startup and stable performance. GraalVM Native Image uses a novel iterative application of points-to analysis and heap snapshotting, followed by ahead-of-time compilation with an optimizing compiler. Initialization code can run at build time, i.e., executables can be tailored to a particular application configuration. Execution at run time starts with a pre-populated heap, leveraging copy-on-write memory sharing. We show that this approach improves the startup performance by up to two orders of magnitude compared to the Java HotSpot VM, while preserving peak performance. This allows Java applications to have a better startup performance than Go applications and the V8 JavaScript VM. ©2019 Copyright held by the owner/author(s).</t>
  </si>
  <si>
    <t>Ahead-of-time compilation; Compiler; Graal; GraalVM; Java; Optimization; Virtual machine</t>
  </si>
  <si>
    <t>Optimization; Program compilers; Ahead-of-time compilation; Compiler; Graal; GraalVM; Java; Virtual machine</t>
  </si>
  <si>
    <t>2-s2.0-85092030761</t>
  </si>
  <si>
    <t>Keshavarzian A.; Sharifian S.; Seyedin S.</t>
  </si>
  <si>
    <t>Keshavarzian, Alireza (58701214500); Sharifian, Saeed (24179033900); Seyedin, Sanaz (26649022400)</t>
  </si>
  <si>
    <t>58701214500; 24179033900; 26649022400</t>
  </si>
  <si>
    <t>Modified deep residual network architecture deployed on serverless framework of IoT platform based on human activity recognition application</t>
  </si>
  <si>
    <t>10.1016/j.future.2019.06.009</t>
  </si>
  <si>
    <t>In the last few years, human activity recognition (HAR) is a subject undergoing intense study in various contexts such as pattern recognition and human-device interaction. HAR applications come to an aid of Telecare system which is paving the way for doctors and nurses to measure the health status of their patients. Due to the ubiquitous influence of smartphones in an individual's life, we take embedded smartphone sensors into account as our case study. The proposed method, Modified Deep Residual Network, outperforms the accuracy of Human activity recognition compared with state-of-the-art machine learning techniques which are using Raw signals as their input. we defined new pooling layer called smooth-pooling to leverage the model performance. The accuracy of proposed architecture is evaluated on three common dataset that comprises accelerometer and gyroscope raw data. The results demonstrated the proposed method outperforms accuracy of classification while requiring just raw data with lower parameters compared to other works. Furthermore, The proposed HAR method is deployed in our IoT cloud platform which enables users to create scenarios based on what they are doing at home. Using Function as a Service (FaaS) architecture in this platform solves the scalability issues by running each function in a separate container. The IoT platform prepares an infrastructure for developers who want to integrate their application into the platform and use its functionality along with other IoT platform options. © 2019 Elsevier B.V.</t>
  </si>
  <si>
    <t>Cloud computing; Deep residual network; Function as a service; Human action recognition</t>
  </si>
  <si>
    <t>Cloud computing; Distributed computer systems; Learning systems; mHealth; Network architecture; Pattern recognition; Smartphones; Accuracy of classifications; Human activity recognition; Human-action recognition; Machine learning techniques; Model performance; Proposed architectures; Scalability issue; Tele-care systems; Internet of things</t>
  </si>
  <si>
    <t>2-s2.0-85066922149</t>
  </si>
  <si>
    <t>Sen R.; Jindal A.; Patel H.; Qiao S.</t>
  </si>
  <si>
    <t>Sen, Rathijit (55079370000); Jindal, Alekh (53881488400); Patel, Hiren (57210068008); Qiao, Shi (57102689000)</t>
  </si>
  <si>
    <t>55079370000; 53881488400; 57210068008; 57102689000</t>
  </si>
  <si>
    <t>AutoToken: Predicting Peak Parallelism for Big Data Analytics at Microsoft</t>
  </si>
  <si>
    <t>Right-sizing resource allocation for big-data queries, particularly in serverless environments, is critical for improving infrastructure operational efficiency, capacity availability, query performance predictability, and for reducing unnecessary wait times. In this paper, we present AutoToken — a simple and effective predictor for estimating the peak resource usage of recurring big data queries. It uses multiple query plan identifiers to identify recurring query templates and to learn models with the goal of reducing over-allocation in future instances of those queries. AutoToken is computationally light, for both training and scoring, is easily deployable at scale, and is integrated with the Peregrine workload optimization infrastructure at Microsoft. We extensively evaluate AutoToken on SCOPE jobs from our production clusters and show that it outperforms state-of-the-art solutions for peak resource estimation. We also discuss our plans towards supporting repeatable and extensible research on resource prediction for SCOPE jobs, including describing a simulation methodology for generating arbitrary-sized datasets with similar characteristics as the production datasets. © VLDB Endowment. All rights reserved.</t>
  </si>
  <si>
    <t>Data Analytics; Data analytics; Data query; MicroSoft; Multiple queries; Operational efficiencies; Query performance; Resource usage; Resources allocation; Simple++; Wait time; Big data</t>
  </si>
  <si>
    <t>2-s2.0-85096756370</t>
  </si>
  <si>
    <t>Source Title</t>
  </si>
  <si>
    <t>Author Full Names</t>
  </si>
  <si>
    <t>Article Title</t>
  </si>
  <si>
    <t>Publication Date</t>
  </si>
  <si>
    <t>Web of Science Record</t>
  </si>
  <si>
    <t>Web of Science</t>
  </si>
  <si>
    <t>COMPUTERS</t>
  </si>
  <si>
    <t>Boza, EE; Andrade, X; Cedeno, J; Murillo, J; Aragon, H; Abad, CL; Abad, AG</t>
  </si>
  <si>
    <t>Boza, Edwin E.; Andrade, Xavier; Cedeno, Jorge; Murillo, Jorge; Aragon, Harold; Abad, Cristina L.; Abad, Andres G.</t>
  </si>
  <si>
    <t>2073-431X</t>
  </si>
  <si>
    <t/>
  </si>
  <si>
    <t>MAR</t>
  </si>
  <si>
    <t>IEEE TRANSACTIONS ON NETWORK AND SERVICE MANAGEMENT</t>
  </si>
  <si>
    <t>Patman, J; Chemodanov, D; Calyam, P; Palaniappan, K; Sterle, C; Boccia, M</t>
  </si>
  <si>
    <t>Patman, Jon; Chemodanov, Dmitrii; Calyam, Prasad; Palaniappan, Kannappan; Sterle, Claudio; Boccia, Maurizio</t>
  </si>
  <si>
    <t>Predictive Cyber Foraging for Visual Cloud Computing in Large-Scale IoT Systems</t>
  </si>
  <si>
    <t>Cyber foraging has been shown to be especially effective for augmenting low-power Internet-of-Thing (IoT) devices by offloading video processing tasks to nearby edge/cloud computing servers. Factors such as dynamic network conditions, concurrent user access, and limited resource availability, cause offloading decisions that negatively impact overall processing throughput and end-user delays. Moreover, edge/cloud platforms currently offer both Virtual Machine (VM) and serverless computing pricing models, but many existing edge offloading approaches only investigate single VM-based offloading performance. In this paper, we propose a predictive (NP-complete) scheduling-based offloading framework and a heuristic-based counterpart that use machine learning to dynamically decide what combinations of functions or single VM needs to be deployed so that tasks can be efficiently scheduled. We collected over 10,000 network and device traces in a series of realistic experiments relating to a protest crowds incident management application. We then evaluated the practicality of our predictive cyber foraging approach using trace-driven simulations for up to 1000 devices. Our results indicate that predicting single VM offloading costs: (a) leads to near-optimal scheduling in 70% of the cases for service function chaining, and (b) offers a 40% gain in performance over traditional baseline estimation techniques that rely on simple statistics for estimations in the case of single VM-offloading. Considering a series of visual computing offloading scenarios, we also validate our approach benefits of using online versus offline machine learning models for predicting offloading delays.</t>
  </si>
  <si>
    <t>DEC</t>
  </si>
  <si>
    <t>10.1109/TNSM.2020.3010497</t>
  </si>
  <si>
    <t>IEEE TRANSACTIONS ON PARALLEL AND DISTRIBUTED SYSTEMS</t>
  </si>
  <si>
    <t>Lin, CY; Khazaei, H</t>
  </si>
  <si>
    <t>Lin, Changyuan; Khazaei, Hamzeh</t>
  </si>
  <si>
    <t>1045-9219</t>
  </si>
  <si>
    <t>MAR 1</t>
  </si>
  <si>
    <t>WIRELESS PERSONAL COMMUNICATIONS</t>
  </si>
  <si>
    <t>Yuvaraj, N; Karthikeyan, T; Praghash, K</t>
  </si>
  <si>
    <t>Yuvaraj, N.; Karthikeyan, T.; Praghash, K.</t>
  </si>
  <si>
    <t>Serverless computing offers a wide variety of event-driven integrations and cloud services, easy development and implementation frameworks, and complex balancing and control of costs. With these benefits into consideration, the growing implementation of serverless systems means that the performance of the serverless system is measured and new techniques created to maximize the potential of the software. The serverless or system runtime features have shown major performance and cost advantages for event-driven cloud applications. While serverless runtimes are limited to applications requiring lightweight data and storage, such as the prediction and inference of machine learning, these applications have been improved beyond other cloud runtimes. In this paper, we propose a machine learning model to parallelize the jobs allocated to the event queue and the dispatcher of the serverless framework. We hence use Gray Wolf Optimization (GWO) model to improve the process of task allocation. Further, to optimize GWO, we use the Reinforcement Learning (RIL) approach that simultaneously optimizes the parameters of GWO and improves the task allocation. The simulation studies show that the proposed GWO-RIL offers reduced runtimes and it adapts with varying load conditions.</t>
  </si>
  <si>
    <t>0929-6212</t>
  </si>
  <si>
    <t>APR</t>
  </si>
  <si>
    <t>IEEE INTERNET OF THINGS JOURNAL</t>
  </si>
  <si>
    <t>Pelle, I; Czentye, J; Dóka, J; Kern, A; Gero, BP; Sonkoly, B</t>
  </si>
  <si>
    <t>Pelle, Istvan; Czentye, Janos; Doka, Janos; Kern, Andras; Gero, Balazs P.; Sonkoly, Balazs</t>
  </si>
  <si>
    <t>MAY 15</t>
  </si>
  <si>
    <t>FUTURE GENERATION COMPUTER SYSTEMS-THE INTERNATIONAL JOURNAL OF ESCIENCE</t>
  </si>
  <si>
    <t>Ristov, S; Pedratscher, S; Fahringer, T</t>
  </si>
  <si>
    <t>Serverless workflow applications or function choreographies (FCs), which connect serverless functions by data- and control-flow, have gained considerable momentum recently to create more sophisticated applications as part of Function-as-a-Service (FaaS) platforms. Initial experimental analysis of the current support for FCs uncovered important weaknesses, including provider lock-in, and limited support for important data-flow and control-flow constructs. To overcome some of these weaknesses, we introduce the Abstract Function Choreography Language (AFCL) for describing FCs at a high-level of abstraction, which abstracts the function implementations from the developer. AFCL is a YAML-based language that supports a rich set of constructs to express advanced control-flow (e.g. parallelFor loops, parallel sections, dynamic loop iterations counts) and data-flow (e.g multiple input and output parameters of functions, DAG-based data-flow). We introduce data collections which can be distributed to loop iterations and parallel sections that may substantially reduce the delays for function invocations due to reduced data transfers between functions. We also support asynchronous functions to avoid delays due to blocking functions. AFCL supports properties (e.g. expected size of function input data) and constraints (e.g. minimize execution time) for the user to optionally provide hints about the behavior of functions and FCs and to control the optimization by the underlying execution environment. We implemented a prototype AFCL environment that supports AFCL as input language with multiple backends (AWS Lambda and IBM Cloud Functions) thus avoiding provider lock-in which is a common problem in serverless computing. We created two realistic FCs from two different domains and encoded them with AWS Step Functions, IBM Composer and AFCL. Experimental results demonstrate that our current implementation of the AFCL environment substantially outperforms AWS Step Functions and IBM Composer in terms of development effort, economic costs, and makespan. (C) 2020 The Authors. Published by Elsevier B.V.</t>
  </si>
  <si>
    <t>JAN</t>
  </si>
  <si>
    <t>IEEE TRANSACTIONS ON CLOUD COMPUTING</t>
  </si>
  <si>
    <t>Mahmoudi, N; Khazaei, H</t>
  </si>
  <si>
    <t>Mahmoudi, Nima; Khazaei, Hamzeh</t>
  </si>
  <si>
    <t>OCT 1</t>
  </si>
  <si>
    <t>INTERNATIONAL JOURNAL OF GRID AND UTILITY COMPUTING</t>
  </si>
  <si>
    <t>Singh, P; Kaur, A; Gill, SS</t>
  </si>
  <si>
    <t>Singh, Parminder; Kaur, Avinash; Gill, Sukhpal Singh</t>
  </si>
  <si>
    <t>Machine learning for cloud, fog, edge and serverless computing environments: comparisons, performance evaluation benchmark and future directions</t>
  </si>
  <si>
    <t>The compute-intensive and latency-sensitive Internet of Things (IoT) applications need to utilise the services from various computing paradigms, but they are facing many challenges such as large value of latency, energy and network bandwidth. To analyse and understand these challenges, we designed a performance evaluation benchmark which integrates Cloud, Fog, Edge and Serverless computing to conduct a comparative study for IoT-based healthcare application. It gives the platform for the developers to design IoT applications based on user guidelines to run various applications concurrently on different paradigms. Furthermore, we used recent machine learning techniques for the optimisation of resources, energy, cost and overheads to identify the best technique based on important Quality of Service parameters. Experimental results show that serverless computing performs better than non-serverless in terms of energy, latency, bandwidth, response time and scalability by 3.8%, 3.2%, 4.3%, 1.5% and 2.7%, respectively. Finally, various promising future directions are highlighted.</t>
  </si>
  <si>
    <t>1741-847X</t>
  </si>
  <si>
    <t>10.1504/IJGUC.2022.10045288</t>
  </si>
  <si>
    <t>Jarachanthan, J; Chen, L; Xu, F; Li, B</t>
  </si>
  <si>
    <t>Jarachanthan, Jananie; Chen, Li; Xu, Fei; Li, Bo</t>
  </si>
  <si>
    <t>DEC 1</t>
  </si>
  <si>
    <t>IEEE-ACM TRANSACTIONS ON NETWORKING</t>
  </si>
  <si>
    <t>Zhang, M; Zhu, YF; Liu, JC; Wang, F; Wang, FX</t>
  </si>
  <si>
    <t>PROCEEDINGS OF THE ACM ON MEASUREMENT AND ANALYSIS OF COMPUTING SYSTEMS</t>
  </si>
  <si>
    <t>Mahgoub, A; Yi, EB; Shankar, K; Minocha, E; Elnikety, S; Bagchi, S; Chaterji, S</t>
  </si>
  <si>
    <t>WiseFuse: Workload Characterization and DAG Transformation for ServerlessWorkflows</t>
  </si>
  <si>
    <t>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(SLO) or cost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invocations to reduce skew. (3) Resource Allocation assigns the right size to each VM hosting a function or a group of functions to reduce the latency and cost of invoking the serverless DAG. We implement WiseFuse and evaluate it experimentally using three serverless applications, namely, Video Analytics, Approximate SVD, and ML Analytics, which span different DAG structures, memory footprints, and intermediate data sizes. In comparison to competing approaches, WiseFuse shows significant improvements in E2E latency and cost. Specifically, for the ML pipeline, WiseFuse achieves a P95 latency that is 67% lower than Photons [SoCC-20], 39% lower than Faastlane [USENIX ATC-21], and 90% lower than Sonic [USENIX ATC-21], without increasing the $ cost.</t>
  </si>
  <si>
    <t>JUN</t>
  </si>
  <si>
    <t>Analytical performance models are very effective in ensuring the quality of service and cost of service deployment remain desirable under different conditions and workloads. While various analytical performance models have been proposed for previous paradigms in cloud computing, serverless computing lacks such models that can provide developers with performance guarantees. Besides, most serverless computing platforms still require developers' input to specify the configuration for their deployment that could affect both the performance and cost of their deployment, without providing them with any direct and immediate feedback. In previous studies, we built such performance models for steady-state and transient analysis of scale-per-request serverless computing platforms (e.g., AWSLambda, Azure Functions, Google Cloud Functions) that could give developers immediate feedback about the quality of service and cost of their deployments. In thiswork, we aim to develop analytical performance models for latest trend in serverless computing platforms that use concurrency value and the rate of requests per second for autoscaling decisions. Examples of such serverless computing platforms are Knative and Google Cloud Run (a managed Knative service by Google). The proposed performance model can help developers and providers predict the performance and cost of deployments with different configurations which could help them tune the configuration toward the best outcome. We validate the applicability and accuracy of the proposed performance model by extensive real-world experimentation on Knative and show that our performance model is able to accurately predict the steady-state characteristics of a given workload with minimal amount of data collection.</t>
  </si>
  <si>
    <t>APR-JUN</t>
  </si>
  <si>
    <t>Wu, ZR; Deng, YH; Zhou, Y; Cui, L; Qin, X</t>
  </si>
  <si>
    <t>Wu, Zhaorui; Deng, Yuhui; Zhou, Yi; Cui, Lin; Qin, Xiao</t>
  </si>
  <si>
    <t>Yao, XY; Chen, NJ; Yuan, XM; Ou, PJ</t>
  </si>
  <si>
    <t>It is difficult for resource-constrained edge servers to simultaneously meet the performance require-ments of all the latency-sensitive Internet of Things (IoT) applications in edge computing. Therefore, it is a significant challenge to efficiently generate a task offloading strategy. Recently, deep reinforcement learning (DRL)-based task offloading methods have been studied to ensure long-term performance optimization. However, there are challenges in existing DRL-based task offloading methods, such as insufficient sample diversity and high exploration cost. To optimize the performance of edge computing and facilitate the development and deployment of event-driven IoT applications, the serverless edge computing model has emerged. It combines serverless computing, also known as Function as a Service (FaaS), with edge computing and has been adopted in edge AI inference and prediction, stream processing, face recognition, etc. In this paper, an experience-sharing deep reinforcement learning -based distributed function offloading method called ES-DRL is proposed in the setting of a combined stateful and stateless execution model for serverless edge computing. ES-DRL adopts a distributed learning architecture, where each edge FaaS (EFaaS) obtains the current state of the local environment and inputs them to the local DRL agent, which outputs the function offloading strategy. Then, each EFaaS uploads the experience data interacting with the environment to a global shared replay buffer located in the cloud and randomly draws a batch of data from it to optimize the parameters of the local network. A population-guided policy search method is introduced to speed up the convergence of the DRL agent and avoid falling into the local optimum. The experimental results demonstrate that ES-DRL can reduce the average latency by up to approximately 17 percent compared to the existing DRL-based task offloading method.(c) 2022 Elsevier B.V. All rights reserved.</t>
  </si>
  <si>
    <t>FEB</t>
  </si>
  <si>
    <t>ACM TRANSACTIONS ON SOFTWARE ENGINEERING AND METHODOLOGY</t>
  </si>
  <si>
    <t>Liu, XZ; Wen, JF; Chen, ZP; Li, D; Chen, JK; Liu, Y; Wang, HY; Jin, X</t>
  </si>
  <si>
    <t>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 In this article, we propose an approach, namely, FaaSLight, to accelerating the cold start for FaaS applications through application-level optimization. We first conduct a measurement study to investigate the possible root cause of the cold-start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In practice, FaaSLight can be effectively applied to FaaS applications developed in different programming languages (Python and JavaScript), and can be seamlessly deployed on popular serverless platforms such as AWS Lambda and Google Cloud Functions, without having to modify the underlying OSes or hypervisors, nor introducing any additional manual engineering efforts to developers.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21.25x improvement in reducing the average total response latency.</t>
  </si>
  <si>
    <t>JUL</t>
  </si>
  <si>
    <t>SOFTWARE-PRACTICE &amp; EXPERIENCE</t>
  </si>
  <si>
    <t>Raith, P; Rausch, T; Furutanpey, A; Dustdar, S</t>
  </si>
  <si>
    <t>Raith, Philipp; Rausch, Thomas; Furutanpey, Alireza; Dustdar, Schahram</t>
  </si>
  <si>
    <t>faas-sim: A trace-driven simulation framework for serverless edge computing platforms</t>
  </si>
  <si>
    <t>This paper presents faas-sim, a simulation framework tailored to serverless edge computing platforms. In serverless computing, platform operators are tasked with efficiently managing distributed computing infrastructure completely abstracted from application developers. To that end, platform operators and researchers need tools to design, build, and evaluate resource management techniques that efficiently use of infrastructure while optimizing application performance. This challenge is exacerbated in edge computing scenarios, where, compared to cloud computing, there is a lack of reference architectures, design tools, or standardized benchmarks. faas-sim bridges this gap by providing (a) a generalized model of serverless systems that builds on the function-as-a-service abstraction, (b) a simulator that uses trace data from real-world edge computing testbeds and representative workloads, and (c) a network topology generator to model and simulate distributed and heterogeneous edge-cloud systems. We present the conceptual design, implementation, and a thorough evaluation of faas-sim. By running experiments on both real-world test beds and replicating them using faas-sim, we show that the simulator provides accurate results and reasonable simulation performance. We have profiled a wide range of edge computing infrastructure and workloads, focusing on typical edge computing scenarios such as edge AI inference or data processing. Moreover, we present several instances where we have successfully used faas-sim to either design, optimize, or evaluate serverless edge computing systems.</t>
  </si>
  <si>
    <t>0038-0644</t>
  </si>
  <si>
    <t>10.1002/spe.3277</t>
  </si>
  <si>
    <t>CONCURRENCY AND COMPUTATION-PRACTICE &amp; EXPERIENCE</t>
  </si>
  <si>
    <t>Kumari, A; Sahoo, B; Behera, RK</t>
  </si>
  <si>
    <t>Kumari, Anisha; Sahoo, Bibhudatta; Behera, Ranjan Kumar</t>
  </si>
  <si>
    <t>Serverless computing has emerged as a powerful deployment model based on the Function-as-a-Service (FaaS) paradigm, where applications are orchestrated through a set of independent functions. The function orchestration within an application can be represented through a serverless workflow, which defines the overall execution plan of the application. To ensure the quality of service for serverless computing platforms, it is essential to develop performance and cost models that can predict the service quality that can be obtained from deploying and executing applications in the cloud platform. While several analytical models have been developed for various cloud deployment frameworks in recent years, there has been a lack of performance and cost analysis models for serverless computing platforms. The existing performance and cost monitoring tools available in serverless frameworks face several challenges, such as complexity, lack of transparency, and incomplete monitoring data. In this paper, we fill the gap by proposing an efficient workflow-based analytical model that can estimate the end-to-end response time and cost of the serverless execution plan. The proposed model can handle complex structures like loop, cycles, self-loop, and parallel substructures that exist in serverless workflows. Additionally, we propose a heuristic optimization algorithm to identify the optimal resource configuration to achieve the optimal response time under a given budget constraint. We evaluated the effectiveness of the proposed model by considering seven serverless applications in both AWS Lambda and Microsoft Azure platforms. We compared the accuracy of the proposed model with the real values of response time and cost obtained in AWS Lambda and Microsoft Azure serverless platforms. The proposed performance and cost model in the AWS Lambda platform has been observed to have an average accuracy of 99.2% and 98.7% respectively. In the Microsoft Azure platform, the average accuracy of the performance and cost model has been observed to be 98.6% and 98.2% respectively.</t>
  </si>
  <si>
    <t>1532-0626</t>
  </si>
  <si>
    <t>OCT 10</t>
  </si>
  <si>
    <t>IEEE TRANSACTIONS ON INDUSTRIAL INFORMATICS</t>
  </si>
  <si>
    <t>Xie, RC; Gu, DR; Tang, QQ; Huang, T; Yu, FR</t>
  </si>
  <si>
    <t>Xie, Renchao; Gu, Dier; Tang, Qinqin; Huang, Tao; Yu, Fei Richard</t>
  </si>
  <si>
    <t>Workflow Scheduling in Serverless Edge Computing for the Industrial Internet of Things: A Learning Approach</t>
  </si>
  <si>
    <t>Serverless edge computing is seen as a promising enabler to execute differentiated Industrial Internet of Things (IIoT) applications without managing the underlying servers and clusters. In IIoT serverless edge computing, IIoT workflow scheduling for cloud-edge collaborative processing is closely related to the service quality of users. However, serverless functions decomposed by IIoT applications are limited in their deployment at the edge due to the resource-constrained nature of edge infrastructures. In addition, the scheduling of complex IIoT applications supported by serverless computing is more challenging. Therefore, considering the limited function deployment and the complex dependencies of serverless workflows, we model the workflow application as directed acyclic graph and formulate the scheduling problem as a multiobjective optimization problem. A dueling double deep Q-network-based solution is proposed to make scheduling decisions under dynamically changing systems. Extensive simulation experiments are conducted to validate the superiority of the proposed scheme.</t>
  </si>
  <si>
    <t>1551-3203</t>
  </si>
  <si>
    <t>10.1109/TII.2022.3217477</t>
  </si>
  <si>
    <t>Ko, HE; Pack, S; Leung, VCM</t>
  </si>
  <si>
    <t>Ko, Haneul; Pack, Sangheon; Leung, Victor C. M.</t>
  </si>
  <si>
    <t>FEB 1</t>
  </si>
  <si>
    <t>Lin, CY; Mahmoudi, N; Fan, CX; Khazaei, H</t>
  </si>
  <si>
    <t>Lin, Changyuan; Mahmoudi, Nima; Fan, Caixiang; Khazaei, Hamzeh</t>
  </si>
  <si>
    <t>JAN 1</t>
  </si>
  <si>
    <t>IEEE TRANSACTIONS ON COMPUTERS</t>
  </si>
  <si>
    <t>Xu, ZC; Zhou, LZ; Liang, WF; Xia, QF; Xu, WZ; Ren, WH; Ren, HZ; Zhou, P</t>
  </si>
  <si>
    <t>Xu, Zichuan; Zhou, Lizhen; Liang, Weifa; Xia, Qiufen; Xu, Wenzheng; Ren, Wenhao; Ren, Haozhe; Zhou, Pan</t>
  </si>
  <si>
    <t>Stateful Serverless Application Placement in MEC With Function and State Dependencies</t>
  </si>
  <si>
    <t>Serverless computing is emerging as an enabling technology for elastic and low-cost AI applications in the edge of core networks. It allows AI developers to decompose a complex training and time-sensitive inference task into multiple functions with dependency, and upload the task to a Multi-access Edge Computing platform (MEC) for execution. Serverless computing adopts a popular design principle: the disaggregation of storage and computation, making the functions 'stateless'. However, most AI applications are 'stateful' and rely on an external storage service to manage their states (ephemeral data). This will incur a prohibitively long delay for delay-sensitive AI applications if external services storing the states are far from the serverless functions. Motivated by this critical issue, in this paper we investigate a fundamental problem in serverless computing - the stateful serverless application placement problem, for which, we first propose an efficient heuristic algorithm, and then devise an approximation algorithm with a provable approximation ratio for one of its special cases. We also consider the online version of the problem, and develop an online learning-driven algorithm with a bounded regret. The crux of the online algorithm is the adoption of the multi-armed bandits technique for dynamic admissions of inference requests, under the uncertainty of both data volumes of requests and network delays. We finally evaluate the performance of the proposed algorithms through experimental simulations. Simulation results show that the proposed algorithms outperform their counterparts, reducing at least 32% in the total cost and 27% of the average delay.</t>
  </si>
  <si>
    <t>0018-9340</t>
  </si>
  <si>
    <t>SEPT 1</t>
  </si>
  <si>
    <t>10.1109/TC.2023.3262947</t>
  </si>
  <si>
    <t>Arjona, A; Finol, G; López, PG</t>
  </si>
  <si>
    <t>Arjona, Aitor; Finol, Gerard; Lopez, Pedro Garcia</t>
  </si>
  <si>
    <t>Access transparency means that both local and remote resources are accessed using identical op-erations. With transparency, unmodified single-machine applications could run over disaggregated compute, storage, and memory resources. Hiding the complexity of distributed systems through transparency would have great benefits, like scaling-out local-parallel scientific applications over flexible disaggregated resources in the Cloud.This paper presents a performance evaluation where we assess the feasibility of access transparency over state-of-the-art Cloud disaggregated resources for Python multiprocessing applications. We have interfaced the multiprocessing module with an implementation that transparently runs processes on serverless functions and uses an in-memory data store for shared state.To evaluate transparency, we run in the Cloud four unmodified applications: Uber Research's Evolution Strategies, Baselines-AI's Proximal Policy Optimization, Pandaral.lel's dataframe, and Scikit Learn's Hyperparameter tuning. We compare execution time and scalability of the same application running over disaggregated resources using our library, with the single-machine Python multipro-cessing libraries in a large VM. For equal resources, applications efficiently using message-passing abstractions achieve comparable results despite the significant overheads of remote communication. Other shared-memory intensive applications do not perform due to high remote memory latency.The results show that Python's multiprocessing library design is an enabler towards transparency: legacy applications using efficient disaggregated abstractions can transparently scale beyond VM limited resources for increased parallelism without changing the underlying code or architecture.(c) 2022 The Author(s). Published by Elsevier B.V. This is an open access article under the CC BY license (http://creativecommons.org/licenses/by/4.0/).</t>
  </si>
  <si>
    <t>CLUSTER COMPUTING-THE JOURNAL OF NETWORKS SOFTWARE TOOLS AND APPLICATIONS</t>
  </si>
  <si>
    <t>Jain, R; Sharma, N</t>
  </si>
  <si>
    <t>Jain, Richa; Sharma, Neelam</t>
  </si>
  <si>
    <t>A quantum inspired hybrid SSA-GWO algorithm for SLA based task scheduling to improve QoS parameter in cloud computing</t>
  </si>
  <si>
    <t>Software as a service (SaaS) provider hires resources from an Infrastructure as a Service (IaaS) provider and provides these sharable resources to user's applications on lease. However, it is becoming a more challenging issue for SaaS providers to meet user's Quality of Service (QoS) Parameter and maximize profit from cloud infrastructure. This proposed work satisfies both the user and the service provider by fulfilling service level agreement (SLA), user's QoS requirement, and increasing profit with efficient resources utilization. This paper proposes an Improved Quantum Salp Swarm Algorithm (IQSSA), which improves the Salp Swarm algorithm by incorporating the principles of Quantum computing to increase the convergence rate. Further, Quantum-inspired Salp Swarm Grey Wolf Algorithm (QSSGWA) embeds SSA with Grey Wolf Optimizer (GWO) to improve the global optimum solution, and quantum operator is used to initializing population. Proposed algorithms execute tasks under the user-defined deadline and budget constraints. Furthermore, the penalty cost is formulated and applied in the case of a deadline violation. IQSSA and QSSGWA are tested on 19 global benchmark functions, and results prove their superior performance compared to SSA, GWO, BAT, and Particle Swarm Optimization (PSO) algorithm. Furthermore, these algorithms are simulated on CloudSim, and performance matrices such as service provider's profit, makespan, SLA violation rate, task rejection rate, throughput, resource utilization, and response time are compared. The comparison analysis demonstrates that the proposed algorithms offer better performance and more efficient scheduling than existing metaheuristics. Furthermore, simulation results clearly show that QSSGWA gives the best results for all performance matrices. This proposed approach can be applied in many scientific domains, where distributed processing of data or large scale data analysis is required such as distributed and federated machine learning, serverless computing, medical applications, etc.</t>
  </si>
  <si>
    <t>1386-7857</t>
  </si>
  <si>
    <t>INFORMATION AND SOFTWARE TECHNOLOGY</t>
  </si>
  <si>
    <t>Sigurleifsson, B; Ahmed, N; Verdet, A; Hamdaqa, M; Sabri, M; Pelletier, I</t>
  </si>
  <si>
    <t>SEP</t>
  </si>
  <si>
    <t>IEEE TRANSACTIONS ON MOBILE COMPUTING</t>
  </si>
  <si>
    <t>Zhao, KYE; Zhou, Z; Jiao, L; Cai, S; Xu, F; Chen, X</t>
  </si>
  <si>
    <t>Zhao, Kongyange; Zhou, Zhi; Jiao, Lei; Cai, Shen; Xu, Fei; Chen, Xu</t>
  </si>
  <si>
    <t>1536-1233</t>
  </si>
  <si>
    <t>AUG</t>
  </si>
  <si>
    <t>Gu, R; Wang, SL; Dai, HP; Chen, XF; Wang, ZK; Bao, WJ; Zheng, JQ; Tu, YF; Huang, YH; Qi, LY; Xu, XL; Dou, WC; Chen, GH</t>
  </si>
  <si>
    <t>Nowadays, there exists a lot of cross-region data transmission demand on the cloud. It is promising to use serverless computing for data compressing to save the total data size. However, it is challenging to estimate the data transmission time and monetary cost with serverless compression. In addition, minimizing the data transmission cost is non-trivial due to the enormous parameter space. This paper focuses on this problem and makes the following contributions: 1) We propose empirical data transmission time and monetary cost models based on serverless compression. It can also predict compression information, e.g., ratio and speed using chunk sampling and machine learning techniques. 2) For single-task cloud data transmission, we propose two efficient parameter search methods based on Sequential Quadratic Programming (SQP) and Eliminate then Divide and Conquer (EDC) with proven error upper bounds. Besides, we propose a parameter fine-tuning strategy to deal with transmission bandwidth variance. 3) Furthermore, for multi-task scenarios, a parameter search method based on dynamic programming and numerical computation is proposed. We have implemented the system called Fluid-Shuttle, which includes straggler optimization, cache optimization, and the autoscaling decompression mechanism. Finally, we evaluate the performance of Fluid-Shuttle with various workloads and applications on the real-world AWS serverless computing platform. Experimental results show that the proposed approach can improve the parameter search efficiency by over 3 $\times$ compared with the state-of-art methods and achieves better parameter quality. In addition, our approach achieves higher time efficiency and lower monetary cost compared with competing cloud data transmission approaches.</t>
  </si>
  <si>
    <t>Nguyen, TN</t>
  </si>
  <si>
    <t>Serverless computing is the most innovative and affordable cloud service model that improves three strategic business objectives: flexibility, efficiency, and innovation. Compared to monolithic applications, serverless computing applications scale better as the applications are further broken down into small building blocks of functions. Resources are assigned per function and can scale up as function requests increase. Hence, serverless computing has been increasingly employed in high-impact areas such as banking and health care. An issue affecting serverless computing's performance is cold-start - the delays in assigning resources for function execution. Such delays can violate the Service Level Agreements especially those of time-sensitive applications.Current cold-start management policies operate in silos with narrow focuses on function, application, runtime, or infrastructure levels. Such policies do not incorporate higher-level requirements like those in the Service Level Agreements. Additionally, operating in silos does not follow the principle of continuous feedback loops among management policies at different system levels, which is essential for AI-driven self-adaptive future computing systems.Therefore, this paper proposes a novel 2-prong cold-start management policy that allows feedback loops with other higher management policies and orchestrates lower-level cold-start optimization policies. The main policy driver is the temporal convolutional network (TCN) model that can predict function instance arrivals from 5 to 15 min into the future. Evaluation strategies were proposed for both the TCN model and the management policy. Evaluation results show that the TCN model performs reliably across two trace datasets from leading serverless computing providers. Notably, the proposed cold-start policy evaluation plan allows organizations to realistically evaluate their cold-start management in ways that have never been done before.</t>
  </si>
  <si>
    <t>Femminella, M; Reali, G</t>
  </si>
  <si>
    <t>Serverless computing is a new cloud computing model suitable for providing services in both large cloud and edge clusters. In edge clusters, the autoscaling functions play a key role on serverless platforms as the dynamic scaling of function instances can lead to reduced latency and efficient resource usage, both typical requirements of edge-hosted services. However, a badly configured scaling function can introduce unexpected latency due to so-called cold start events or service request losses. In this work, we focus on the optimization of resource-based autoscaling on OpenFaaS, the most-adopted open-source Kubernetes-based serverless platform, leveraging real-world serverless traffic traces. We resort to the reinforcement learning algorithm named Proximal Policy Optimization to dynamically configure the value of the Kubernetes Horizontal Pod Autoscaler, trained on real traffic. This was accomplished via a state space model able to take into account resource consumption, performance values, and time of day. In addition, the reward function definition promotes Service-Level Agreement (SLA) compliance. We evaluate the proposed agent, comparing its performance in terms of average latency, CPU usage, memory usage, and loss percentage with respect to the baseline system. The experimental results show the benefits provided by the proposed agent, obtaining a service time within the SLA while limiting resource consumption and service loss.</t>
  </si>
  <si>
    <t>IEEE COMMUNICATIONS MAGAZINE</t>
  </si>
  <si>
    <t>Sabbioni, A; Garbugli, A; Foschini, L; Corradi, A; Bellavista, P</t>
  </si>
  <si>
    <t>Sabbioni, Andrea; Garbugli, Andrea; Foschini, Luca; Corradi, Antonio; Bellavista, Paolo</t>
  </si>
  <si>
    <t>Serverless Computing for QoS-Effective NFV in the Cloud Edge</t>
  </si>
  <si>
    <t>Network Softwarization, particularly Network Function Virtualization (NFV), is revolutionizing networking by separating the hardware from the supported network functions, demonstrating unprecedented flexibility and cost-efficiency. With the rise of edge computing, NFV has found a strategic application at the network edge, where network functions are deployed closer to end-users and devices with improved performance and reduced latency. In this context, the serverless paradigm is gaining attention due to its fine-grained scalability, reduced management efforts, and resource efficiency. Despite the advantages, challenges arise from the ephemeral nature of serverless functions, leading to latency issues and hampering the creation of efficient coordination and orchestration mechanisms. Adopting this paradigm in resource-constrained scenarios, such as cloud edges, is even more challenging due to the insufficient presence of proper quality-of-service (QoS) mechanisms in these platforms. This article introduces our novel time effective middleware for priority oriented serverless network function virtualization (TEMPOS4NFV), a QoS-aware platform specialized in hosting serverless network functions in resource-constrained environments. TEMPOS4NFV addresses resource contention and coordination challenges, offering effective end-to-end QoS differentiation for network workloads executed over multiple federated sites. In addition, this article examines TEMPOS4NFV hosting a real virtual private network (VPN) case, demonstrating its ability to execute concurrent multi-site QoS differentiated workloads.</t>
  </si>
  <si>
    <t>0163-6804</t>
  </si>
  <si>
    <t>10.1109/MCOM.001.2300182</t>
  </si>
  <si>
    <t>IEEE SYSTEMS JOURNAL</t>
  </si>
  <si>
    <t>Luo, SX; Li, K; Xing, HL; Fan, PZ</t>
  </si>
  <si>
    <t>Luo, Shouxi; Li, Ke; Xing, Huanlai; Fan, Pingzhi</t>
  </si>
  <si>
    <t>1932-8184</t>
  </si>
  <si>
    <t>COMPUTERS &amp; ELECTRICAL ENGINEERING</t>
  </si>
  <si>
    <t>Ghorbian, M; Ghobaei-Arani, M</t>
  </si>
  <si>
    <t>Wang, LY; Liu, AF; Xiong, NN; Zhang, SB; Wang, T; Dong, MX</t>
  </si>
  <si>
    <t>IEEE INTERNET COMPUTING</t>
  </si>
  <si>
    <t>Katare, D; Marin, E; Kourtellis, N; Janssen, M; Ding, AY</t>
  </si>
  <si>
    <t>Katare, Dewant; Marin, Eduard; Kourtellis, Nicolas; Janssen, Marijn; Ding, Aaron Yi</t>
  </si>
  <si>
    <t>ARASEC: Adaptive Resource Allocation and Model Training for Serverless EdgeCloud Computing</t>
  </si>
  <si>
    <t>Developing and deploying resource-aware artificial intelligence (AI) models presents a compelling optimization challenge in edge computing and serverless domains. Current research focuses mainly on scalable training and inference that uses serverless frameworks to optimize operational costs. However, these approaches often overlook the challenges of heterogeneous-aware training and overall cost optimization, including computing, memory, and communication. Our work introduces a framework for a heterogeneous edge environment, focusing on the model and key performance metrics like accuracy, floating-point operations per second, number of parameters, and latency. This framework enables distributed training within a serverless architecture. Further, it explores the construction of machine learning models from existing serverless functions using a lookup table while estimating AI model training in edge, cloud, or hybrid settings. We test the framework on object detection tasks in AI model development and deployment by using serverless operations.</t>
  </si>
  <si>
    <t>1089-7801</t>
  </si>
  <si>
    <t>NOV</t>
  </si>
  <si>
    <t>10.1109/MIC.2024.3514670</t>
  </si>
  <si>
    <t>Wang, WG; Wu, QW; Zhang, ZY; Zeng, J; Zhang, X; Zhou, MQ</t>
  </si>
  <si>
    <t>Wang, Weiguo; Wu, Quanwang; Zhang, Zhiyong; Zeng, Jie; Zhang, Xiang; Zhou, Mingqiang</t>
  </si>
  <si>
    <t>Serverless computing has nowadays become a mainstream paradigm to develop cloud-native applications owing to its high scalability, ease of usage and cost-effectiveness. Nevertheless, because of its poor infrastructure transparency, two main challenges emerge when users migrate their applications to a serverless platform: the lack of an effective analytical model for performance and billing, and the trade-off problem between them. In this paper, we formally define a serverless workflow and introduce the concept of execution instances. Based on them, a probabilistic performance and cost evaluation model is built to obtain their expected values for an input serverless workflow. Then, we design a tailored evolutionary optimization algorithm called EASW to tackle budget-constrained performance optimization and performance-constrained cost optimization problems. Extensive experiments were carried out to test the proposed model and optimization algorithm on AWS Lambda. Results reveal that our model can achieve an accuracy over 98% and EASW can yield a better memory configuration solution than existing methods for constrained optimization.</t>
  </si>
  <si>
    <t>Qi, SX; Monis, L; Zeng, ZT; Wang, IC; Ramakrishnan, KK</t>
  </si>
  <si>
    <t>Serverless computing promises an efficient, low-cost compute capability in cloud environments. However, existing solutions, epitomized by open-source platforms such as Knative, include heavyweight components that undermine this goal of serverless computing. Additionally, such serverless platforms lack dataplane optimizations to achieve efficient, high-performance function chains that facilitate the popular microservices development paradigm. Their use of unnecessarily complex and duplicate capabilities for building function chains severely degrades performance. 'Cold-start' latency is another deterrent. We describe SPRIGHT, a lightweight, high-performance, responsive serverless framework. SPRIGHT exploits shared memory processing and dramatically improves the scalability of the dataplane by avoiding unnecessary protocol processing and serialization-deserialization overheads. SPRIGHT extensively leverages event-driven processing with the extended Berkeley Packet Filter (eBPF). We creatively use eBPF's socket message mechanism to support shared memory processing, with overheads being strictly load-proportional. Compared to constantly-running, polling-based DPDK, SPRIGHT achieves the same dataplane performance with 10 X less CPU usage under realistic workloads. Additionally, eBPF benefits SPRIGHT, by replacing heavyweight serverless components, allowing us to keep functions 'warm' with negligible penalty. Our preliminary experimental results show that SPRIGHT achieves an order of magnitude improvement in throughput and latency compared to Knative, while substantially reducing CPU usage, and obviates the need for 'cold-start'.</t>
  </si>
  <si>
    <t>IEEE ACCESS</t>
  </si>
  <si>
    <t>Yu, L; Fu, L; Sun, CH</t>
  </si>
  <si>
    <t>Yu, Liu; Fu, Li; Sun, Chenhao</t>
  </si>
  <si>
    <t>Serverless has gained significant attention due to its advantages of high elasticity, low cost, and reduced operational overhead. However, the cold start problem severely constrains its performance and user experience. This paper proposes an innovative hierarchical startup optimization scheme that introduces a critical parameter called scaling threshold based on multi-concurrency execution within a single instance. By employing fine-grained instance concurrency control and adaptive scaling, this approach reduces the probability of cold starts while maintaining resource utilization efficiency. We systematically present the optimization principles, controller design, and implementation details of the hierarchical startup scheme. Extensive experiments are conducted to evaluate the proposed scheme for various types of Serverless applications. The results demonstrate that the hierarchical startup scheme significantly improves the cold start performance of Serverless applications, further reducing the cold start rate by 18.4% to 25.6% and the average response time by 8.9% to 27.5%. Further theoretical analysis and experimental data confirm the rationality and effectiveness of the scheme's design. The research findings enrich the theory and methods of cold start optimization in Serverless and hold significant value for enhancing Serverless application performance and promoting the widespread adoption of Serverless.</t>
  </si>
  <si>
    <t>Tran, MN; Kim, Y</t>
  </si>
  <si>
    <t>Tran, Minh-Ngoc; Kim, Younghan</t>
  </si>
  <si>
    <t>Serverless computing is a recent emerged trending technology in the 5G edge computing landscape. Serverless computing's on-demand dynamic scalability allows efficient utilization of limited available resources at the edge. To realize the benefit serverless edge computing, several solutions have been recently proposed to optimize serverless service placement, scaling and scheduling at the edge. However, lack of studies consider the involvement of 5G mobile network in orchestrating connection between requests from user equipments (UE) and serverless edge services. 5G control plane need to be aware of the serverless edge service deployment information determined by those optimized algorithms to avoid serverless service cold start problem caused by steering traffic to unoptimized edge sites. To address this issue, this study introduces enhancements to the current 5G architecture and procedures based on computing-aware traffic steering concept. We proposed a new computing-aware traffic steering controller that can manage serverless edge computing deployment information and influence 5G control plane to configure optimal routing path to serverless applications. The proposed solution allows 5G control plane to efficiently co-operate with advanced serverless deployment solutions to orchestrate serverless service serving at the 5G edge. We evaluated our solution against the normal 5G architecture and the 5G architecture enhancements for edge computing standardized by the 3rd Generation Partnership Project (3GPP). Our solution reduced the number of requests affected by cold-start from 8 to 35% and the edge resource consumption amount from 10 to 41%.</t>
  </si>
  <si>
    <t>JOURNAL OF GRID COMPUTING</t>
  </si>
  <si>
    <t>Sun, Y; Zhang, C; Huang, T</t>
  </si>
  <si>
    <t>Sun, Yuan; Zhang, Chen; Huang, Tao</t>
  </si>
  <si>
    <t>Serverless computing lifts the burden of infrastructure maintenance from application developers and also reduces the usage cost of cloud/edge computing platforms. However, the pay-as-you-go pricing model offered by serverless computing complicates the task dispatching problem in serverless computing systems. Specifically, when the pay-as-you-go pricing model is adopted, the task response latency is not simply the task execution latency, but the cold-start latency and the container image downloading latency should also be considered as part of the task response latency. In this paper, we focus on the joint task dispatching and bandwidth allocation problem with hard deadlines in distributed serverless edge computing systems. To maximize the overall profit, a new algorithm called PN-GRD is presented. PN-GRD first uses a Pointer Network model that is well trained offline to inference a task permutation, which is used to determine the task priority. Then, multiple edge node selection steps are carried out to select an edge node for each task according to the task priority. The final task dispatching and bandwidth allocation is obtained once the best edge node for every task is chosen or none of the edge nodes is suitable to run a task. We validate the performance of PN-GRD through simulations. The results show that PN-GRD outperforms practical baselines in terms of the average overall profit.</t>
  </si>
  <si>
    <t>1570-7873</t>
  </si>
  <si>
    <t>Li, J; Guo, S; Liang, WF; Wang, JP; Chen, Q; Xu, WC; Wei, K; Jia, XH</t>
  </si>
  <si>
    <t>Li, Jing; Guo, Song; Liang, Weifa; Wang, Jianping; Chen, Quan; Xu, Wenchao; Wei, Kang; Jia, Xiaohua</t>
  </si>
  <si>
    <t>Larcher, T; Gritsch, P; Nastic, S; Ristov, S</t>
  </si>
  <si>
    <t>Larcher, Thomas; Gritsch, Philipp; Nastic, Stefan; Ristov, Sashko</t>
  </si>
  <si>
    <t>Serverless is a popular paradigm for expressing compute-intensive applications as serverless workflows. In practice, a significant portion of the computing is typically offloaded to various Backend-as-a-Service (BaaS) cloud services. The recent rise of federated serverless and Sky computing offers cost and performance advantages for these BaaS-enabled serverless workflows. However, due to vendor lock-in and lack of service interoperability, many challenges remain that impact the development, deployment, and scheduling of BaaS-enabled serverless workflows in federated serverless infrastructures. This paper introduces BaaSLess - a novel platform that delivers global and dynamic federated BaaS to serverless workflows. BaaSLess provides: i) a novel SDK for uniform and dynamic access to federated BaaS services, reducing the complexity associated with the development of BaaS-enabled serverless workflows, ii) a novel globally-federated serverless BaaS framework that delivers a suite of BaaS-less ML services, including text-to-speech, speech-to-text, translation, and OCR, together with a globally-federated storage infrastructure, comprising AWS and Google cloud providers, and iii) a novel model and an algorithm for scheduling BaaS-enabled serverless workflows to improve their performance. Experimental results using three complementary BaaS-enabled serverless workflows show that BaaSLess improves workflow execution time by up to 2.95x compared to the state-of-the-art serverless schedulers, often at a lower cost.</t>
  </si>
  <si>
    <t>OCT</t>
  </si>
  <si>
    <t>Schirmer, T; Scheuner, J; Pfandzelter, T; Bermbach, D</t>
  </si>
  <si>
    <t>Schirmer, Trever; Scheuner, Joel; Pfandzelter, Tobias; Bermbach, David</t>
  </si>
  <si>
    <t>Geng, HM; Zeng, DZ; Li, YP; Gu, L; Chen, Q; Li, P</t>
  </si>
  <si>
    <t>Geng, Hongmin; Zeng, Deze; Li, Yuepeng; Gu, Lin; Chen, Quan; Li, Peng</t>
  </si>
  <si>
    <t>Czentye, J; Sonkoly, B</t>
  </si>
  <si>
    <t>Czentye, Janos; Sonkoly, Balazs</t>
  </si>
  <si>
    <t>Serverless computing is a novel cloud computing paradigm enabling flexible, cost-efficient and fine-granular development of cloud-native applications, although without any guarantees on scheduling or execution times. Thus, various high-level solutions have been proposed in recent years to find proper configurations of individual FaaS functions, while considering user-given QoS requirements. However, the ever-increasing complexity of invocation patterns among stateless functions, externalized management of intermediate states, and diverse public cloud resources pose new challenges to the composition of highly data-intensive serverless applications. In this paper, we fill this gap by proposing novel algorithms based on the emerging function fusion technique, along with the related cost/performance models of composite functions supporting implicit instance parallelization and internal state propagation. We prove the NP-completeness of the underlying latency-constrained tree partitioning problem, and design a bicriteria approximation scheme and a greedy heuristic to derive cost-efficient deployment configurations in polynomial time. With the help of extensive simulations using synthetic call graphs generated from public cloud traces, we demonstrate the applicability and superior runtime performance of our proposed methods compared to state-of-the-art solutions. In addition, we showcase that further cost-reduction of up to 3-6 % can be achieved compared to the optimal partitioning with the allowance of tolerable latency violations.</t>
  </si>
  <si>
    <t>Panda, A; Sarangi, SR</t>
  </si>
  <si>
    <t>Panda, Abhisek; Sarangi, Smruti R.</t>
  </si>
  <si>
    <t>Serverless computing systems have become very popular because of their natural advantages with respect to auto-scaling, load balancing and fast distributed processing. As of today, almost all serverless systems define two QoS classes: best-effort (BE) and latency-sensitive (LS). Systems typically do not offer any latency or QoS guarantees for BE jobs and run them on a best-effort basis. In contrast, systems strive to minimize the processing time for LS jobs. This work proposes a precise definition for these job classes and argues that we need to consider a bouquet of performance metrics for serverless applications, not just a single one. We thus propose the comprehensive latency (CL) that comprises the mean, tail latency, median and standard deviation of a series of invocations for a given serverless function. Next, we design a system FaaSCtrl, whose main objective is to ensure that every component of the CL is within a prespecified limit for an LS application, and for BE applications, these components are minimized on a best-effort basis. Given the sheer complexity of the scheduling problem in a large multi-application setup, we use the method of surrogate functions in optimization theory to design a simpler optimization problem that relies on performance and fairness. We rigorously establish the relevance of these metrics through characterization studies. Instead of using standard approaches based on optimization theory, we use a much faster reinforcement learning (RL) based approach to tune the knobs that govern process scheduling in Linux, namely the real-time priority and the assigned number of cores. RL works well in this scenario because the benefit of a given optimization is probabilistic in nature, owing to the inherent complexity of the system. We show using rigorous experiments on a set of real-world workloads that FaaSCtrl achieves its objectives for both LS and BE applications and outperforms the state-of-the-art by 36.9% (for tail response latency) and 44.6% (for response latency's std. dev.) for LS applications.</t>
  </si>
  <si>
    <t>Wen, ZJ; Chen, Q; Niu, YP; Song, Z; Deng, QF; Liu, FM</t>
  </si>
  <si>
    <t>Wen, Zhaojie; Chen, Qiong; Niu, Yipei; Song, Zhen; Deng, Quanfeng; Liu, Fangming</t>
  </si>
  <si>
    <t>Function-as-a-Service (FaaS) offers a fine-grained resource provision model, enabling developers to build highly elastic cloud applications. User requests are handled by a series of serverless functions step by step, which forms a multi-step workflow. The developers are required to set proper configurations for functions to meet service level objectives (SLOs) and save costs. However, developing the configuration strategy is challenging. This is mainly because the execution of serverless functions often suffers from cold starts and performance fluctuation, which requires a dynamic configuration strategy to guarantee the SLOs. In this article, we present StepConf, a framework that automates the configuration as the workflow runs. StepConf optimizes memory size for each function step in the workflow and takes inter and intra-function parallelism into consideration, which has been overlooked by existing work. StepConf intelligently predicts the potential configurations for subsequent function steps, and proactively prewarms function instances in a configuration-aware manner to reduce the cold start overheads. We evaluate StepConf on AWS and Knative. Compared to existing work, StepConf improves performance by up to 5.6x under the same cost budget and achieves up to a 40% cost reduction while maintaining the same level of performance.</t>
  </si>
  <si>
    <t>Huang, YD; Lin, ZL; Yao, TT; Mo, CK; Shang, XJ; Cui, LZ; Yang, YY</t>
  </si>
  <si>
    <t>Huang, Yaodong; Lin, Zelin; Yao, Tingting; Mo, Changkang; Shang, Xiaojun; Cui, Laizhong; Yang, Yuanyuan</t>
  </si>
  <si>
    <t>Mobility-Aware Seamless Virtual Function Migration in Deviceless Edge Computing Environments</t>
  </si>
  <si>
    <t>Serverless Computing and Function-as-a-Service (FaaS) offer convenient and transparent services to developers and users. The deployment and resource allocation of services are managed by the cloud service providers. Meanwhile, the development of smart mobile devices and network technology enables the collection and transmission of a huge amount of data, which shifts tasks to the network edge for mobile users. In this paper, we propose a deviceless edge computing system targeting the mobility of end users using the data migration of virtual functions. We focus on the adjustment of migration among virtual functions to provide uninterrupted services to mobile users. We introduce the deviceless edge computing model and propose a seamless data migration scheme of virtual functions with limited involvement of function developers. We formulate the migration decision problem into integer linear programming and use receding horizon control (RHC) for online solutions. We implement the migration system to support delay-sensitive scenarios over real edge devices and develop a streaming game as the virtual function to test the performance. Extensive experiments in real scenarios exhibit the system has the ability to support high-mobility and delay-sensitive application scenarios. Extensive simulation results show the applicability of the proposed system over large-scale networks.</t>
  </si>
  <si>
    <t>10.1109/TMC.2023.3343969</t>
  </si>
  <si>
    <t>IEEE TRANSACTIONS ON SERVICES COMPUTING</t>
  </si>
  <si>
    <t>Agarwal, S; Rodriguez, MA; Buyya, R</t>
  </si>
  <si>
    <t>Agarwal, Siddharth; Rodriguez, Maria A.; Buyya, Rajkumar</t>
  </si>
  <si>
    <t>IEEE TRANSACTIONS ON QUANTUM ENGINEERING</t>
  </si>
  <si>
    <t>Cicconetti, C</t>
  </si>
  <si>
    <t>Cicconetti, Claudio</t>
  </si>
  <si>
    <t>Modeling and Performance Evaluation of Hybrid Classical-Quantum Serverless Computing Platforms</t>
  </si>
  <si>
    <t>While quantum computing technologies are evolving toward achieving full maturity, hybrid algorithms, such as variational quantum computing, are already emerging as valid candidates to solve practical problems in fields, such as chemistry and operations research. This situation calls for a tighter and better integration of classical and quantum computing infrastructures to improve efficiency and users' quality of service. Inspired by recent developments in cloud technologies, serverless computing has recently been considered a promising solution for this purpose by both industry and research. In this work, we define a system model for a hybrid classical-quantum serverless system, with an associated open-source numerical simulator that can be driven by production traces and stochastic workload models. We therefore describe how we produced a public dataset using IBM Qiskit in a local and remote infrastructure, with a sample application on optimization. The simulation results show initial insights on some distinguishing features of the platform simulated, measured in terms of user and system metrics, for jobs with heterogeneous problem sizes and priorities. We also report a few lessons we learned from developing the application with IBM Qiskit serverless and running it on IBM Quantum backends.</t>
  </si>
  <si>
    <t>IEEE TRANSACTIONS ON AUTOMATION SCIENCE AND ENGINEERING</t>
  </si>
  <si>
    <t>Ma, RF; Zhan, YF; Wu, CG; Hong, ZC; Ali, Y; Xia, YQ</t>
  </si>
  <si>
    <t>Ma, Ruifeng; Zhan, Yufeng; Wu, Chuge; Hong, Zicong; Ali, Yasir; Xia, Yuanqing</t>
  </si>
  <si>
    <t>Serverless is an emerging cloud paradigm that offers fine-grained resource sharing through serverless functions. However, this resource sharing can cause interference, leading to performance degradation and QoS violations. Existing white box-based approaches for serverless resource provision often demand extensive expert knowledge, which is challenging to obtain due to the complexity of interference sources. This paper proposes Qora, a neural-enhanced interference-aware resource provisioning system for serverless computing. We model the resource provisioning of serverless functions as a novel combinatorial optimization problem, wherein the constraints on the queries per second are derived from neural network performance model. By leveraging neural networks to model the nonlinear performance fluctuations under various interference sources, our approach better captures the real-world behavior of serverless functions. To solve the formulated problem efficiently, rather than adopting commercial optimizer solvers like Gurobi, we propose a two-stage-VNS algorithm that searches discrete variables more efficiently and supports Sigmoid activations, avoiding introducing redundant discrete variables. Unlike pure machine learning methods lacking theoretical optimal guarantees, our approach is rigorously proven globally optimal based on optimization theory. We implement Qora on Kubernetes as a serverless system automating resource provisioning. Experimental results demonstrate that Qora reduces the QoS violation rate by 98% while reducing up to 35% resource costs compared with the state-of-the-arts. Note to Practitioners-From the perspective of cloud service providers, this paper considers the automatic resource provisioning for serverless functions. To improve hardware utilization, cloud providers tend to co-locate serverless functions on the same server. However, co-located functions compete for shared resources (memory bandwidth, L3 cache, etc.), which causes interference and leads to performance degradation and QoS violations. We use neural networks to build the performance models of interference-prone serverless functions and form the resource allocation optimization problem with neural network performance models as constraints. Compared to white box modeling methods, our neural network modeling adapts to complex and variable interference. Compared to deep reinforcement learning methods, our combinatorial optimization methods have stronger interpretability. In order to solve this optimization problem efficiently, we design the two-stage-VNS solution algorithm. We implement Qora on Kubernetes as a serverless system, which can automatically allocate computing resources. Experiments with small-scale real clusters and large-scale simulations demonstrate the effectiveness of Qora.</t>
  </si>
  <si>
    <t>1545-5955</t>
  </si>
  <si>
    <t>Mampage, A; Karunasekera, S; Buyya, R</t>
  </si>
  <si>
    <t>MAR-APR</t>
  </si>
  <si>
    <t>SCIENTIFIC REPORTS</t>
  </si>
  <si>
    <t>Alkhalifa, AK; Aljebreen, M; Alanazi, R; Ahmad, N; Alahmari, S; Alrusaini, O; Alqazzaz, A; Alkhiri, H</t>
  </si>
  <si>
    <t>Alkhalifa, Amal K.; Aljebreen, Mohammed; Alanazi, Rakan; Ahmad, Nazir; Alahmari, Sultan; Alrusaini, Othman; Alqazzaz, Ali; Alkhiri, Hassan</t>
  </si>
  <si>
    <t>Mitigating malicious denial of wallet attack using attribute reduction with deep learning approach for serverless computing on next generation applications</t>
  </si>
  <si>
    <t>Denial of Wallet (DoW) attacks are one kind of cyberattack whose goal is to develop and expand the financial sources of a group by causing extreme costs in their serverless computing or cloud environments. These threats are chiefly related to serverless structures owing to their features, such as auto-scaling, pay-as-you-go method, cost amplification, and limited control. Serverless computing, Function-as-a-Service (FaaS), is a cloud computing (CC) system that permits developers to construct and run applications without a conventional server substructure. The deep learning (DL) model, a part of the machine learning (ML) technique, has developed as an effectual device in cybersecurity, permitting more effectual recognition of anomalous behaviour and classifying patterns indicative of threats. This study proposes a Mitigating Malicious Denial of Wallet Attack using Attribute Reduction with Deep Learning (MMDoWA-ARDL) approach for serverless computing on next-generation applications. The primary purpose of the MMDoWA-ARDL approach is to propose a novel framework that effectively detects and mitigates malicious attacks in serverless environments using an advanced deep-learning model. Initially, the presented MMDoWA-ARDL model applies data pre-processing using Z-score normalization to transform input data into a valid format. Furthermore, the feature selection process-based cuckoo search optimization (CSO) model efficiently identifies the most impactful attributes related to potential malicious activity. For the DoW attack mitigation process, the bi-directional long short-term memory multi-head self-attention network (BMNet) method is employed. Finally, the hyperparameter tuning is accomplished by implementing the secretary bird optimizer algorithm (SBOA) method to enhance the classification outcomes of the BMNet model. A wide-ranging experimental investigation uses a benchmark dataset to exhibit the superior performance of the proposed MMDoWA-ARDL technique. The comparison study of the MMDoWA-ARDL model portrayed a superior accuracy value of 99.39% over existing techniques.</t>
  </si>
  <si>
    <t>2045-2322</t>
  </si>
  <si>
    <t>MAY 28</t>
  </si>
  <si>
    <t>10.1038/s41598-025-01178-w</t>
  </si>
  <si>
    <t>Renukadevi, P; Amaran, S; Vikram, A; Rao, TP; Ishak, MK</t>
  </si>
  <si>
    <t>Renukadevi, P.; Amaran, Sibi; Vikram, A.; Prabhakara Rao, T.; Ishak, Mohamad Khairi</t>
  </si>
  <si>
    <t>Adeppady, M; Conte, A; Giaccone, P; Karl, H; Chiasserini, CF</t>
  </si>
  <si>
    <t>Adeppady, Madhura; Conte, Alberto; Giaccone, Paolo; Karl, Holger; Fabiana Chiasserini, Carla</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</si>
  <si>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AiW's decisions on request scheduling. COME addresses the mismatch in timescales for resource provisioning decisions at the container and server levels. Extensive performance evaluation through simulation shows AiW's close match to the optimum and COME's significant reduction in power consumption by 22-64% compared state-of-the-art alternatives.</t>
  </si>
  <si>
    <t>Yuan, SJ; Liu, YX; Guo, S; Li, J; Chen, HY; Wu, CT; Yang, Y</t>
  </si>
  <si>
    <t>Yuan, Shijing; Liu, Yuxin; Guo, Song; Li, Jie; Chen, Hongyang; Wu, Chentao; Yang, Yang</t>
  </si>
  <si>
    <t>temp</t>
  </si>
  <si>
    <t>temp2</t>
  </si>
  <si>
    <t>Mean</t>
  </si>
  <si>
    <t>Standard Error</t>
  </si>
  <si>
    <t>Median</t>
  </si>
  <si>
    <t>Mode</t>
  </si>
  <si>
    <t>Standard Deviation</t>
  </si>
  <si>
    <t>Sample Variance</t>
  </si>
  <si>
    <t>Kurtosis</t>
  </si>
  <si>
    <t>Skewness</t>
  </si>
  <si>
    <t>Range</t>
  </si>
  <si>
    <t>Minimum</t>
  </si>
  <si>
    <t>Maximum</t>
  </si>
  <si>
    <t>Sum</t>
  </si>
  <si>
    <t>Count</t>
  </si>
  <si>
    <t>Largest(1)</t>
  </si>
  <si>
    <t>Smallest(1)</t>
  </si>
  <si>
    <t>Column Labels</t>
  </si>
  <si>
    <t>Grand Total</t>
  </si>
  <si>
    <t>(All)</t>
  </si>
  <si>
    <t>Row Labels</t>
  </si>
  <si>
    <t xml:space="preserve"> </t>
  </si>
  <si>
    <t>Publication over Database By Years</t>
  </si>
  <si>
    <t>Table 1</t>
  </si>
  <si>
    <t>Journals Title</t>
  </si>
  <si>
    <t>Count of Publicatoin</t>
  </si>
  <si>
    <t>Count of Publicatoin over Journals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</si>
</sst>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5" tint="0.79998168889431442"/>
        <bgColor indexed="64"/>
      </patternFill>
    </fill>
  </fills>
  <borders count="20">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0" xfId="0" applyAlignment="1">
      <alignment horizontal="left"/>
    </xf>
    <xf numFmtId="22" fontId="0" fillId="0" borderId="0" xfId="0" applyNumberFormat="1" applyAlignment="1">
      <alignment horizontal="left"/>
    </xf>
    <xf numFmtId="15" fontId="0" fillId="0" borderId="0" xfId="0" applyNumberFormat="1"/>
    <xf numFmtId="14" fontId="0" fillId="0" borderId="0" xfId="0" applyNumberFormat="1" applyAlignment="1">
      <alignment horizontal="left"/>
    </xf>
    <xf numFmtId="0" fontId="1" fillId="0" borderId="0" xfId="1" applyNumberFormat="1" applyAlignment="1">
      <alignment horizontal="left"/>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0" borderId="0" xfId="0" pivotButton="1"/>
    <xf numFmtId="0" fontId="0" fillId="0" borderId="3" xfId="0" pivotButton="1" applyBorder="1"/>
    <xf numFmtId="0" fontId="0" fillId="0" borderId="3" xfId="0" applyBorder="1" applyAlignment="1">
      <alignment horizontal="left"/>
    </xf>
    <xf numFmtId="0" fontId="0" fillId="3" borderId="3" xfId="0" applyFill="1" applyBorder="1" applyAlignment="1">
      <alignment horizontal="left"/>
    </xf>
    <xf numFmtId="0" fontId="0" fillId="4" borderId="4" xfId="0" applyFill="1" applyBorder="1" applyAlignment="1">
      <alignment horizontal="left"/>
    </xf>
    <xf numFmtId="0" fontId="0" fillId="4" borderId="6" xfId="0" applyFill="1" applyBorder="1" applyAlignment="1">
      <alignment horizontal="left"/>
    </xf>
    <xf numFmtId="0" fontId="0" fillId="4" borderId="8" xfId="0" applyFill="1" applyBorder="1" applyAlignment="1">
      <alignment horizontal="left"/>
    </xf>
    <xf numFmtId="0" fontId="2" fillId="2" borderId="10" xfId="0" applyFont="1" applyFill="1" applyBorder="1"/>
    <xf numFmtId="0" fontId="0" fillId="0" borderId="12" xfId="0" pivotButton="1" applyBorder="1"/>
    <xf numFmtId="0" fontId="0" fillId="0" borderId="13" xfId="0" pivotButton="1" applyBorder="1"/>
    <xf numFmtId="0" fontId="0" fillId="0" borderId="13" xfId="0" applyBorder="1"/>
    <xf numFmtId="0" fontId="0" fillId="0" borderId="14" xfId="0" applyBorder="1"/>
    <xf numFmtId="0" fontId="0" fillId="0" borderId="15" xfId="0" pivotButton="1" applyBorder="1"/>
    <xf numFmtId="0" fontId="0" fillId="0" borderId="16" xfId="0" applyBorder="1"/>
    <xf numFmtId="0" fontId="0" fillId="0" borderId="15" xfId="0" applyBorder="1" applyAlignment="1">
      <alignment horizontal="left"/>
    </xf>
    <xf numFmtId="0" fontId="0" fillId="0" borderId="17" xfId="0" applyBorder="1" applyAlignment="1">
      <alignment horizontal="left"/>
    </xf>
    <xf numFmtId="0" fontId="0" fillId="0" borderId="18" xfId="0" applyBorder="1"/>
    <xf numFmtId="0" fontId="0" fillId="0" borderId="19" xfId="0" applyBorder="1"/>
    <xf numFmtId="0" fontId="2" fillId="2" borderId="11" xfId="0" applyFont="1" applyFill="1" applyBorder="1" applyAlignment="1">
      <alignment horizontal="left"/>
    </xf>
    <xf numFmtId="0" fontId="0" fillId="4" borderId="5" xfId="0" applyFill="1" applyBorder="1" applyAlignment="1">
      <alignment horizontal="left"/>
    </xf>
    <xf numFmtId="0" fontId="0" fillId="4" borderId="7" xfId="0" applyFill="1" applyBorder="1" applyAlignment="1">
      <alignment horizontal="left"/>
    </xf>
    <xf numFmtId="0" fontId="0" fillId="4" borderId="9" xfId="0" applyFill="1" applyBorder="1" applyAlignment="1">
      <alignment horizontal="left"/>
    </xf>
  </cellXfs>
  <cellStyles count="2">
    <cellStyle name="Hyperlink" xfId="1" builtinId="8"/>
    <cellStyle name="Normal" xfId="0" builtinId="0"/>
  </cellStyles>
  <dxfs count="75">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dxf>
    <dxf>
      <alignment horizontal="left"/>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data for journals combin 450 charts - sreverless.xlsx]all in one 386!PivotTable1</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 in one 386'!$S$3:$S$4</c:f>
              <c:strCache>
                <c:ptCount val="1"/>
                <c:pt idx="0">
                  <c:v>2020</c:v>
                </c:pt>
              </c:strCache>
            </c:strRef>
          </c:tx>
          <c:spPr>
            <a:solidFill>
              <a:schemeClr val="accent1"/>
            </a:solidFill>
            <a:ln>
              <a:noFill/>
            </a:ln>
            <a:effectLst/>
          </c:spPr>
          <c:invertIfNegative val="0"/>
          <c:cat>
            <c:strRef>
              <c:f>'all in one 386'!$R$5:$R$13</c:f>
              <c:strCache>
                <c:ptCount val="8"/>
                <c:pt idx="0">
                  <c:v>ACM</c:v>
                </c:pt>
                <c:pt idx="1">
                  <c:v>IEEE Early Access Articles</c:v>
                </c:pt>
                <c:pt idx="2">
                  <c:v>IEEE Journals</c:v>
                </c:pt>
                <c:pt idx="3">
                  <c:v>MDPI</c:v>
                </c:pt>
                <c:pt idx="4">
                  <c:v>River Publishers Journals</c:v>
                </c:pt>
                <c:pt idx="5">
                  <c:v>Science Direct</c:v>
                </c:pt>
                <c:pt idx="6">
                  <c:v>Scopus</c:v>
                </c:pt>
                <c:pt idx="7">
                  <c:v>Web of Science</c:v>
                </c:pt>
              </c:strCache>
            </c:strRef>
          </c:cat>
          <c:val>
            <c:numRef>
              <c:f>'all in one 386'!$S$5:$S$13</c:f>
              <c:numCache>
                <c:formatCode>General</c:formatCode>
                <c:ptCount val="8"/>
                <c:pt idx="0">
                  <c:v>1</c:v>
                </c:pt>
                <c:pt idx="2">
                  <c:v>1</c:v>
                </c:pt>
                <c:pt idx="3">
                  <c:v>1</c:v>
                </c:pt>
                <c:pt idx="5">
                  <c:v>10</c:v>
                </c:pt>
                <c:pt idx="6">
                  <c:v>6</c:v>
                </c:pt>
                <c:pt idx="7">
                  <c:v>2</c:v>
                </c:pt>
              </c:numCache>
            </c:numRef>
          </c:val>
          <c:extLst>
            <c:ext xmlns:c16="http://schemas.microsoft.com/office/drawing/2014/chart" uri="{C3380CC4-5D6E-409C-BE32-E72D297353CC}">
              <c16:uniqueId val="{00000000-5A5F-4B0A-B17B-BAC78711A18D}"/>
            </c:ext>
          </c:extLst>
        </c:ser>
        <c:ser>
          <c:idx val="1"/>
          <c:order val="1"/>
          <c:tx>
            <c:strRef>
              <c:f>'all in one 386'!$T$3:$T$4</c:f>
              <c:strCache>
                <c:ptCount val="1"/>
                <c:pt idx="0">
                  <c:v>2021</c:v>
                </c:pt>
              </c:strCache>
            </c:strRef>
          </c:tx>
          <c:spPr>
            <a:solidFill>
              <a:schemeClr val="accent2"/>
            </a:solidFill>
            <a:ln>
              <a:noFill/>
            </a:ln>
            <a:effectLst/>
          </c:spPr>
          <c:invertIfNegative val="0"/>
          <c:cat>
            <c:strRef>
              <c:f>'all in one 386'!$R$5:$R$13</c:f>
              <c:strCache>
                <c:ptCount val="8"/>
                <c:pt idx="0">
                  <c:v>ACM</c:v>
                </c:pt>
                <c:pt idx="1">
                  <c:v>IEEE Early Access Articles</c:v>
                </c:pt>
                <c:pt idx="2">
                  <c:v>IEEE Journals</c:v>
                </c:pt>
                <c:pt idx="3">
                  <c:v>MDPI</c:v>
                </c:pt>
                <c:pt idx="4">
                  <c:v>River Publishers Journals</c:v>
                </c:pt>
                <c:pt idx="5">
                  <c:v>Science Direct</c:v>
                </c:pt>
                <c:pt idx="6">
                  <c:v>Scopus</c:v>
                </c:pt>
                <c:pt idx="7">
                  <c:v>Web of Science</c:v>
                </c:pt>
              </c:strCache>
            </c:strRef>
          </c:cat>
          <c:val>
            <c:numRef>
              <c:f>'all in one 386'!$T$5:$T$13</c:f>
              <c:numCache>
                <c:formatCode>General</c:formatCode>
                <c:ptCount val="8"/>
                <c:pt idx="0">
                  <c:v>1</c:v>
                </c:pt>
                <c:pt idx="2">
                  <c:v>3</c:v>
                </c:pt>
                <c:pt idx="5">
                  <c:v>10</c:v>
                </c:pt>
                <c:pt idx="6">
                  <c:v>8</c:v>
                </c:pt>
                <c:pt idx="7">
                  <c:v>4</c:v>
                </c:pt>
              </c:numCache>
            </c:numRef>
          </c:val>
          <c:extLst>
            <c:ext xmlns:c16="http://schemas.microsoft.com/office/drawing/2014/chart" uri="{C3380CC4-5D6E-409C-BE32-E72D297353CC}">
              <c16:uniqueId val="{00000001-5A5F-4B0A-B17B-BAC78711A18D}"/>
            </c:ext>
          </c:extLst>
        </c:ser>
        <c:ser>
          <c:idx val="2"/>
          <c:order val="2"/>
          <c:tx>
            <c:strRef>
              <c:f>'all in one 386'!$U$3:$U$4</c:f>
              <c:strCache>
                <c:ptCount val="1"/>
                <c:pt idx="0">
                  <c:v>2022</c:v>
                </c:pt>
              </c:strCache>
            </c:strRef>
          </c:tx>
          <c:spPr>
            <a:solidFill>
              <a:schemeClr val="accent3"/>
            </a:solidFill>
            <a:ln>
              <a:noFill/>
            </a:ln>
            <a:effectLst/>
          </c:spPr>
          <c:invertIfNegative val="0"/>
          <c:cat>
            <c:strRef>
              <c:f>'all in one 386'!$R$5:$R$13</c:f>
              <c:strCache>
                <c:ptCount val="8"/>
                <c:pt idx="0">
                  <c:v>ACM</c:v>
                </c:pt>
                <c:pt idx="1">
                  <c:v>IEEE Early Access Articles</c:v>
                </c:pt>
                <c:pt idx="2">
                  <c:v>IEEE Journals</c:v>
                </c:pt>
                <c:pt idx="3">
                  <c:v>MDPI</c:v>
                </c:pt>
                <c:pt idx="4">
                  <c:v>River Publishers Journals</c:v>
                </c:pt>
                <c:pt idx="5">
                  <c:v>Science Direct</c:v>
                </c:pt>
                <c:pt idx="6">
                  <c:v>Scopus</c:v>
                </c:pt>
                <c:pt idx="7">
                  <c:v>Web of Science</c:v>
                </c:pt>
              </c:strCache>
            </c:strRef>
          </c:cat>
          <c:val>
            <c:numRef>
              <c:f>'all in one 386'!$U$5:$U$13</c:f>
              <c:numCache>
                <c:formatCode>General</c:formatCode>
                <c:ptCount val="8"/>
                <c:pt idx="0">
                  <c:v>4</c:v>
                </c:pt>
                <c:pt idx="2">
                  <c:v>3</c:v>
                </c:pt>
                <c:pt idx="5">
                  <c:v>16</c:v>
                </c:pt>
                <c:pt idx="6">
                  <c:v>20</c:v>
                </c:pt>
                <c:pt idx="7">
                  <c:v>5</c:v>
                </c:pt>
              </c:numCache>
            </c:numRef>
          </c:val>
          <c:extLst>
            <c:ext xmlns:c16="http://schemas.microsoft.com/office/drawing/2014/chart" uri="{C3380CC4-5D6E-409C-BE32-E72D297353CC}">
              <c16:uniqueId val="{00000002-5A5F-4B0A-B17B-BAC78711A18D}"/>
            </c:ext>
          </c:extLst>
        </c:ser>
        <c:ser>
          <c:idx val="3"/>
          <c:order val="3"/>
          <c:tx>
            <c:strRef>
              <c:f>'all in one 386'!$V$3:$V$4</c:f>
              <c:strCache>
                <c:ptCount val="1"/>
                <c:pt idx="0">
                  <c:v>2023</c:v>
                </c:pt>
              </c:strCache>
            </c:strRef>
          </c:tx>
          <c:spPr>
            <a:solidFill>
              <a:schemeClr val="accent4"/>
            </a:solidFill>
            <a:ln>
              <a:noFill/>
            </a:ln>
            <a:effectLst/>
          </c:spPr>
          <c:invertIfNegative val="0"/>
          <c:cat>
            <c:strRef>
              <c:f>'all in one 386'!$R$5:$R$13</c:f>
              <c:strCache>
                <c:ptCount val="8"/>
                <c:pt idx="0">
                  <c:v>ACM</c:v>
                </c:pt>
                <c:pt idx="1">
                  <c:v>IEEE Early Access Articles</c:v>
                </c:pt>
                <c:pt idx="2">
                  <c:v>IEEE Journals</c:v>
                </c:pt>
                <c:pt idx="3">
                  <c:v>MDPI</c:v>
                </c:pt>
                <c:pt idx="4">
                  <c:v>River Publishers Journals</c:v>
                </c:pt>
                <c:pt idx="5">
                  <c:v>Science Direct</c:v>
                </c:pt>
                <c:pt idx="6">
                  <c:v>Scopus</c:v>
                </c:pt>
                <c:pt idx="7">
                  <c:v>Web of Science</c:v>
                </c:pt>
              </c:strCache>
            </c:strRef>
          </c:cat>
          <c:val>
            <c:numRef>
              <c:f>'all in one 386'!$V$5:$V$13</c:f>
              <c:numCache>
                <c:formatCode>General</c:formatCode>
                <c:ptCount val="8"/>
                <c:pt idx="2">
                  <c:v>7</c:v>
                </c:pt>
                <c:pt idx="5">
                  <c:v>9</c:v>
                </c:pt>
                <c:pt idx="6">
                  <c:v>20</c:v>
                </c:pt>
                <c:pt idx="7">
                  <c:v>13</c:v>
                </c:pt>
              </c:numCache>
            </c:numRef>
          </c:val>
          <c:extLst>
            <c:ext xmlns:c16="http://schemas.microsoft.com/office/drawing/2014/chart" uri="{C3380CC4-5D6E-409C-BE32-E72D297353CC}">
              <c16:uniqueId val="{00000003-5A5F-4B0A-B17B-BAC78711A18D}"/>
            </c:ext>
          </c:extLst>
        </c:ser>
        <c:ser>
          <c:idx val="4"/>
          <c:order val="4"/>
          <c:tx>
            <c:strRef>
              <c:f>'all in one 386'!$W$3:$W$4</c:f>
              <c:strCache>
                <c:ptCount val="1"/>
                <c:pt idx="0">
                  <c:v>2024</c:v>
                </c:pt>
              </c:strCache>
            </c:strRef>
          </c:tx>
          <c:spPr>
            <a:solidFill>
              <a:schemeClr val="accent5"/>
            </a:solidFill>
            <a:ln>
              <a:noFill/>
            </a:ln>
            <a:effectLst/>
          </c:spPr>
          <c:invertIfNegative val="0"/>
          <c:cat>
            <c:strRef>
              <c:f>'all in one 386'!$R$5:$R$13</c:f>
              <c:strCache>
                <c:ptCount val="8"/>
                <c:pt idx="0">
                  <c:v>ACM</c:v>
                </c:pt>
                <c:pt idx="1">
                  <c:v>IEEE Early Access Articles</c:v>
                </c:pt>
                <c:pt idx="2">
                  <c:v>IEEE Journals</c:v>
                </c:pt>
                <c:pt idx="3">
                  <c:v>MDPI</c:v>
                </c:pt>
                <c:pt idx="4">
                  <c:v>River Publishers Journals</c:v>
                </c:pt>
                <c:pt idx="5">
                  <c:v>Science Direct</c:v>
                </c:pt>
                <c:pt idx="6">
                  <c:v>Scopus</c:v>
                </c:pt>
                <c:pt idx="7">
                  <c:v>Web of Science</c:v>
                </c:pt>
              </c:strCache>
            </c:strRef>
          </c:cat>
          <c:val>
            <c:numRef>
              <c:f>'all in one 386'!$W$5:$W$13</c:f>
              <c:numCache>
                <c:formatCode>General</c:formatCode>
                <c:ptCount val="8"/>
                <c:pt idx="0">
                  <c:v>3</c:v>
                </c:pt>
                <c:pt idx="2">
                  <c:v>16</c:v>
                </c:pt>
                <c:pt idx="3">
                  <c:v>1</c:v>
                </c:pt>
                <c:pt idx="5">
                  <c:v>65</c:v>
                </c:pt>
                <c:pt idx="6">
                  <c:v>53</c:v>
                </c:pt>
                <c:pt idx="7">
                  <c:v>23</c:v>
                </c:pt>
              </c:numCache>
            </c:numRef>
          </c:val>
          <c:extLst>
            <c:ext xmlns:c16="http://schemas.microsoft.com/office/drawing/2014/chart" uri="{C3380CC4-5D6E-409C-BE32-E72D297353CC}">
              <c16:uniqueId val="{00000004-5A5F-4B0A-B17B-BAC78711A18D}"/>
            </c:ext>
          </c:extLst>
        </c:ser>
        <c:ser>
          <c:idx val="5"/>
          <c:order val="5"/>
          <c:tx>
            <c:strRef>
              <c:f>'all in one 386'!$X$3:$X$4</c:f>
              <c:strCache>
                <c:ptCount val="1"/>
                <c:pt idx="0">
                  <c:v>2025</c:v>
                </c:pt>
              </c:strCache>
            </c:strRef>
          </c:tx>
          <c:spPr>
            <a:solidFill>
              <a:schemeClr val="accent6"/>
            </a:solidFill>
            <a:ln>
              <a:noFill/>
            </a:ln>
            <a:effectLst/>
          </c:spPr>
          <c:invertIfNegative val="0"/>
          <c:cat>
            <c:strRef>
              <c:f>'all in one 386'!$R$5:$R$13</c:f>
              <c:strCache>
                <c:ptCount val="8"/>
                <c:pt idx="0">
                  <c:v>ACM</c:v>
                </c:pt>
                <c:pt idx="1">
                  <c:v>IEEE Early Access Articles</c:v>
                </c:pt>
                <c:pt idx="2">
                  <c:v>IEEE Journals</c:v>
                </c:pt>
                <c:pt idx="3">
                  <c:v>MDPI</c:v>
                </c:pt>
                <c:pt idx="4">
                  <c:v>River Publishers Journals</c:v>
                </c:pt>
                <c:pt idx="5">
                  <c:v>Science Direct</c:v>
                </c:pt>
                <c:pt idx="6">
                  <c:v>Scopus</c:v>
                </c:pt>
                <c:pt idx="7">
                  <c:v>Web of Science</c:v>
                </c:pt>
              </c:strCache>
            </c:strRef>
          </c:cat>
          <c:val>
            <c:numRef>
              <c:f>'all in one 386'!$X$5:$X$13</c:f>
              <c:numCache>
                <c:formatCode>General</c:formatCode>
                <c:ptCount val="8"/>
                <c:pt idx="0">
                  <c:v>1</c:v>
                </c:pt>
                <c:pt idx="1">
                  <c:v>1</c:v>
                </c:pt>
                <c:pt idx="2">
                  <c:v>14</c:v>
                </c:pt>
                <c:pt idx="3">
                  <c:v>1</c:v>
                </c:pt>
                <c:pt idx="4">
                  <c:v>1</c:v>
                </c:pt>
                <c:pt idx="5">
                  <c:v>24</c:v>
                </c:pt>
                <c:pt idx="6">
                  <c:v>32</c:v>
                </c:pt>
                <c:pt idx="7">
                  <c:v>7</c:v>
                </c:pt>
              </c:numCache>
            </c:numRef>
          </c:val>
          <c:extLst>
            <c:ext xmlns:c16="http://schemas.microsoft.com/office/drawing/2014/chart" uri="{C3380CC4-5D6E-409C-BE32-E72D297353CC}">
              <c16:uniqueId val="{00000005-5A5F-4B0A-B17B-BAC78711A18D}"/>
            </c:ext>
          </c:extLst>
        </c:ser>
        <c:dLbls>
          <c:showLegendKey val="0"/>
          <c:showVal val="0"/>
          <c:showCatName val="0"/>
          <c:showSerName val="0"/>
          <c:showPercent val="0"/>
          <c:showBubbleSize val="0"/>
        </c:dLbls>
        <c:gapWidth val="150"/>
        <c:overlap val="100"/>
        <c:axId val="1659861704"/>
        <c:axId val="778891336"/>
      </c:barChart>
      <c:catAx>
        <c:axId val="1659861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891336"/>
        <c:crosses val="autoZero"/>
        <c:auto val="1"/>
        <c:lblAlgn val="ctr"/>
        <c:lblOffset val="100"/>
        <c:noMultiLvlLbl val="0"/>
      </c:catAx>
      <c:valAx>
        <c:axId val="778891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61704"/>
        <c:crosses val="autoZero"/>
        <c:crossBetween val="between"/>
      </c:valAx>
      <c:spPr>
        <a:noFill/>
        <a:ln>
          <a:noFill/>
        </a:ln>
        <a:effectLst/>
      </c:spPr>
    </c:plotArea>
    <c:legend>
      <c:legendPos val="r"/>
      <c:layout>
        <c:manualLayout>
          <c:xMode val="edge"/>
          <c:yMode val="edge"/>
          <c:x val="0.76411617278490329"/>
          <c:y val="0.46311482848876262"/>
          <c:w val="0.19944156362185883"/>
          <c:h val="0.481214614382678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dk1"/>
                </a:solidFill>
                <a:latin typeface="Times New Roman" panose="02020603050405020304" pitchFamily="18" charset="0"/>
                <a:ea typeface="+mn-ea"/>
                <a:cs typeface="Times New Roman" panose="02020603050405020304" pitchFamily="18" charset="0"/>
              </a:defRPr>
            </a:pPr>
            <a:r>
              <a:rPr lang="en-US" sz="1400">
                <a:solidFill>
                  <a:schemeClr val="dk1"/>
                </a:solidFill>
                <a:latin typeface="Times New Roman" panose="02020603050405020304" pitchFamily="18" charset="0"/>
                <a:ea typeface="+mn-ea"/>
                <a:cs typeface="Times New Roman" panose="02020603050405020304" pitchFamily="18" charset="0"/>
              </a:rPr>
              <a:t>Count of Publicatoin over Journals</a:t>
            </a:r>
            <a:endParaRPr lang="en-US" sz="1400">
              <a:latin typeface="Times New Roman" panose="02020603050405020304" pitchFamily="18" charset="0"/>
              <a:cs typeface="Times New Roman" panose="02020603050405020304" pitchFamily="18" charset="0"/>
            </a:endParaRPr>
          </a:p>
        </c:rich>
      </c:tx>
      <c:layout>
        <c:manualLayout>
          <c:xMode val="edge"/>
          <c:yMode val="edge"/>
          <c:x val="0.18397099274818701"/>
          <c:y val="1.4688313557670224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cap="all" spc="120" normalizeH="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stacked"/>
        <c:varyColors val="0"/>
        <c:ser>
          <c:idx val="0"/>
          <c:order val="0"/>
          <c:tx>
            <c:strRef>
              <c:f>'all in one 386'!$AE$3</c:f>
              <c:strCache>
                <c:ptCount val="1"/>
                <c:pt idx="0">
                  <c:v>Count of Publicatoin over Journals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 in one 386'!$AD$4:$AD$23</c:f>
              <c:strCache>
                <c:ptCount val="20"/>
                <c:pt idx="0">
                  <c:v>Ad Hoc Networks</c:v>
                </c:pt>
                <c:pt idx="1">
                  <c:v>Cluster Computing</c:v>
                </c:pt>
                <c:pt idx="2">
                  <c:v>Computer Networks</c:v>
                </c:pt>
                <c:pt idx="3">
                  <c:v>Computers and Electrical Engineering</c:v>
                </c:pt>
                <c:pt idx="4">
                  <c:v>Computing</c:v>
                </c:pt>
                <c:pt idx="5">
                  <c:v>Electronics (Switzerland)</c:v>
                </c:pt>
                <c:pt idx="6">
                  <c:v>Future Generation Computer Systems</c:v>
                </c:pt>
                <c:pt idx="7">
                  <c:v>FUTURE GENERATION COMPUTER SYSTEMS-THE INTERNATIONAL JOURNAL OF ESCIENCE</c:v>
                </c:pt>
                <c:pt idx="8">
                  <c:v>IEEE Access</c:v>
                </c:pt>
                <c:pt idx="9">
                  <c:v>IEEE Internet of Things Journal</c:v>
                </c:pt>
                <c:pt idx="10">
                  <c:v>IEEE Transactions on Cloud Computing</c:v>
                </c:pt>
                <c:pt idx="11">
                  <c:v>IEEE Transactions on Mobile Computing</c:v>
                </c:pt>
                <c:pt idx="12">
                  <c:v>IEEE Transactions on Parallel and Distributed Systems</c:v>
                </c:pt>
                <c:pt idx="13">
                  <c:v>IEEE Transactions on Services Computing</c:v>
                </c:pt>
                <c:pt idx="14">
                  <c:v>Journal of Parallel and Distributed Computing</c:v>
                </c:pt>
                <c:pt idx="15">
                  <c:v>Journal of Supercomputing</c:v>
                </c:pt>
                <c:pt idx="16">
                  <c:v>Journal of Systems and Software</c:v>
                </c:pt>
                <c:pt idx="17">
                  <c:v>Procedia Computer Science</c:v>
                </c:pt>
                <c:pt idx="18">
                  <c:v>Proceedings of the ACM on Measurement and Analysis of Computing Systems</c:v>
                </c:pt>
                <c:pt idx="19">
                  <c:v>Sensors</c:v>
                </c:pt>
              </c:strCache>
            </c:strRef>
          </c:cat>
          <c:val>
            <c:numRef>
              <c:f>'all in one 386'!$AE$4:$AE$23</c:f>
              <c:numCache>
                <c:formatCode>General</c:formatCode>
                <c:ptCount val="20"/>
                <c:pt idx="0">
                  <c:v>8</c:v>
                </c:pt>
                <c:pt idx="1">
                  <c:v>10</c:v>
                </c:pt>
                <c:pt idx="2">
                  <c:v>11</c:v>
                </c:pt>
                <c:pt idx="3">
                  <c:v>6</c:v>
                </c:pt>
                <c:pt idx="4">
                  <c:v>5</c:v>
                </c:pt>
                <c:pt idx="5">
                  <c:v>5</c:v>
                </c:pt>
                <c:pt idx="6">
                  <c:v>80</c:v>
                </c:pt>
                <c:pt idx="7">
                  <c:v>6</c:v>
                </c:pt>
                <c:pt idx="8">
                  <c:v>9</c:v>
                </c:pt>
                <c:pt idx="9">
                  <c:v>9</c:v>
                </c:pt>
                <c:pt idx="10">
                  <c:v>10</c:v>
                </c:pt>
                <c:pt idx="11">
                  <c:v>5</c:v>
                </c:pt>
                <c:pt idx="12">
                  <c:v>14</c:v>
                </c:pt>
                <c:pt idx="13">
                  <c:v>6</c:v>
                </c:pt>
                <c:pt idx="14">
                  <c:v>8</c:v>
                </c:pt>
                <c:pt idx="15">
                  <c:v>6</c:v>
                </c:pt>
                <c:pt idx="16">
                  <c:v>13</c:v>
                </c:pt>
                <c:pt idx="17">
                  <c:v>7</c:v>
                </c:pt>
                <c:pt idx="18">
                  <c:v>6</c:v>
                </c:pt>
                <c:pt idx="19">
                  <c:v>5</c:v>
                </c:pt>
              </c:numCache>
            </c:numRef>
          </c:val>
          <c:extLst>
            <c:ext xmlns:c16="http://schemas.microsoft.com/office/drawing/2014/chart" uri="{C3380CC4-5D6E-409C-BE32-E72D297353CC}">
              <c16:uniqueId val="{00000000-54A4-452B-9DC0-C43BD984EA90}"/>
            </c:ext>
          </c:extLst>
        </c:ser>
        <c:dLbls>
          <c:dLblPos val="ctr"/>
          <c:showLegendKey val="0"/>
          <c:showVal val="1"/>
          <c:showCatName val="0"/>
          <c:showSerName val="0"/>
          <c:showPercent val="0"/>
          <c:showBubbleSize val="0"/>
        </c:dLbls>
        <c:gapWidth val="79"/>
        <c:overlap val="100"/>
        <c:axId val="2093295232"/>
        <c:axId val="2093296672"/>
      </c:barChart>
      <c:catAx>
        <c:axId val="2093295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93296672"/>
        <c:crosses val="autoZero"/>
        <c:auto val="1"/>
        <c:lblAlgn val="ctr"/>
        <c:lblOffset val="100"/>
        <c:noMultiLvlLbl val="0"/>
      </c:catAx>
      <c:valAx>
        <c:axId val="2093296672"/>
        <c:scaling>
          <c:orientation val="minMax"/>
        </c:scaling>
        <c:delete val="1"/>
        <c:axPos val="l"/>
        <c:numFmt formatCode="General" sourceLinked="1"/>
        <c:majorTickMark val="none"/>
        <c:minorTickMark val="none"/>
        <c:tickLblPos val="nextTo"/>
        <c:crossAx val="209329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695325</xdr:colOff>
      <xdr:row>14</xdr:row>
      <xdr:rowOff>59055</xdr:rowOff>
    </xdr:from>
    <xdr:to>
      <xdr:col>24</xdr:col>
      <xdr:colOff>674370</xdr:colOff>
      <xdr:row>31</xdr:row>
      <xdr:rowOff>19050</xdr:rowOff>
    </xdr:to>
    <xdr:graphicFrame macro="">
      <xdr:nvGraphicFramePr>
        <xdr:cNvPr id="4" name="Chart 3">
          <a:extLst>
            <a:ext uri="{FF2B5EF4-FFF2-40B4-BE49-F238E27FC236}">
              <a16:creationId xmlns:a16="http://schemas.microsoft.com/office/drawing/2014/main" id="{C8BE1666-B885-7757-DD01-435CA99B1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571500</xdr:colOff>
      <xdr:row>24</xdr:row>
      <xdr:rowOff>92391</xdr:rowOff>
    </xdr:from>
    <xdr:to>
      <xdr:col>30</xdr:col>
      <xdr:colOff>1257300</xdr:colOff>
      <xdr:row>43</xdr:row>
      <xdr:rowOff>99059</xdr:rowOff>
    </xdr:to>
    <xdr:graphicFrame macro="">
      <xdr:nvGraphicFramePr>
        <xdr:cNvPr id="5" name="Chart 4">
          <a:extLst>
            <a:ext uri="{FF2B5EF4-FFF2-40B4-BE49-F238E27FC236}">
              <a16:creationId xmlns:a16="http://schemas.microsoft.com/office/drawing/2014/main" id="{5204192D-EDD9-2453-ACA6-ED7E622CB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3.047378935182" createdVersion="8" refreshedVersion="8" minRefreshableVersion="3" recordCount="386" xr:uid="{57C85C51-F9FD-46F8-8BFB-2227E63703BC}">
  <cacheSource type="worksheet">
    <worksheetSource name="Table1[[Publication Year]:[Source Title]]"/>
  </cacheSource>
  <cacheFields count="3">
    <cacheField name="Publication Year" numFmtId="0">
      <sharedItems containsSemiMixedTypes="0" containsString="0" containsNumber="1" containsInteger="1" minValue="2020" maxValue="2025" count="6">
        <n v="2021"/>
        <n v="2024"/>
        <n v="2022"/>
        <n v="2025"/>
        <n v="2020"/>
        <n v="2023"/>
      </sharedItems>
    </cacheField>
    <cacheField name="Publisher" numFmtId="0">
      <sharedItems count="8">
        <s v="ACM"/>
        <s v="IEEE Early Access Articles"/>
        <s v="IEEE Journals"/>
        <s v="MDPI"/>
        <s v="River Publishers Journals"/>
        <s v="Science Direct"/>
        <s v="Scopus"/>
        <s v="Web of Science"/>
      </sharedItems>
    </cacheField>
    <cacheField name="Source Title" numFmtId="0">
      <sharedItems count="117">
        <s v="ACM Comput. Surv."/>
        <s v="ACM Trans. Archit. Code Optim."/>
        <s v="ACM Trans. Auton. Adapt. Syst."/>
        <s v="ACM Trans. Comput. Syst."/>
        <s v="ACM Trans. Graph."/>
        <s v="ACM Trans. Reconfigurable Technol. Syst."/>
        <s v="ACM Trans. Softw. Eng. Methodol."/>
        <s v="ACM Trans. Storage"/>
        <s v="IEEE/ACM Trans. Netw."/>
        <s v="Proc. VLDB Endow."/>
        <s v="IEEE Access"/>
        <s v="IEEE Embedded Systems Letters"/>
        <s v="IEEE Internet of Things Journal"/>
        <s v="IEEE Journal of Selected Areas in Sensors"/>
        <s v="IEEE Open Journal of the Communications Society"/>
        <s v="IEEE Systems Journal"/>
        <s v="IEEE Transactions on Automation Science and Engineering"/>
        <s v="IEEE Transactions on Cloud Computing"/>
        <s v="IEEE Transactions on Computers"/>
        <s v="IEEE Transactions on Mobile Computing"/>
        <s v="IEEE Transactions on Network and Service Management"/>
        <s v="IEEE Transactions on Parallel and Distributed Systems"/>
        <s v="IEEE Transactions on Quantum Engineering"/>
        <s v="IEEE Transactions on Services Computing"/>
        <s v="IEEE Transactions on Sustainable Computing"/>
        <s v="IEEE/ACM Transactions on Networking"/>
        <s v="Algorithms"/>
        <s v="Computers"/>
        <s v="Sustainability"/>
        <s v="Journal of Web Engineering"/>
        <s v="Ad Hoc Networks"/>
        <s v="Applied Soft Computing"/>
        <s v="Biomedical Signal Processing and Control"/>
        <s v="CMES - Computer Modeling in Engineering and Sciences"/>
        <s v="Computer Communications"/>
        <s v="Computer Networks"/>
        <s v="Computers &amp; Security"/>
        <s v="Computers and Electrical Engineering"/>
        <s v="Computers in Biology and Medicine"/>
        <s v="Computers, Materials and Continua"/>
        <s v="Decision Support Systems"/>
        <s v="Egyptian Informatics Journal"/>
        <s v="Energy and AI"/>
        <s v="Engineering Applications of Artificial Intelligence"/>
        <s v="Environmental Modelling &amp; Software"/>
        <s v="Future Generation Computer Systems"/>
        <s v="High-Confidence Computing"/>
        <s v="Information and Software Technology"/>
        <s v="Information Fusion"/>
        <s v="Information Processing &amp; Management"/>
        <s v="Information Systems"/>
        <s v="International Journal of Cognitive Computing in Engineering"/>
        <s v="International Journal of Electrical Power &amp; Energy Systems"/>
        <s v="Journal of Computational Science"/>
        <s v="Journal of King Saud University - Computer and Information Sciences"/>
        <s v="Journal of Network and Computer Applications"/>
        <s v="Journal of Parallel and Distributed Computing"/>
        <s v="Journal of Systems and Software"/>
        <s v="Journal of Systems Architecture"/>
        <s v="Knowledge-Based Systems"/>
        <s v="Performance Evaluation"/>
        <s v="Pervasive and Mobile Computing"/>
        <s v="Procedia Computer Science"/>
        <s v="Science of Computer Programming"/>
        <s v="Sustainable Computing: Informatics and Systems"/>
        <s v="Applied Sciences (Switzerland)"/>
        <s v="Big Data Mining and Analytics"/>
        <s v="China Communications"/>
        <s v="Cluster Computing"/>
        <s v="Computing"/>
        <s v="Concurrency and Computation: Practice and Experience"/>
        <s v="Electronics (Switzerland)"/>
        <s v="Empirical Software Engineering"/>
        <s v="Expert Systems with Applications"/>
        <s v="Future Internet"/>
        <s v="IAENG International Journal of Computer Science"/>
        <s v="Information (Switzerland)"/>
        <s v="International Journal of Advanced Computer Science and Applications"/>
        <s v="International Journal of Cloud Applications and Computing"/>
        <s v="International Journal of Computing and Digital Systems"/>
        <s v="International Journal of Information Technology (Singapore)"/>
        <s v="International Journal of Intelligent Engineering and Systems"/>
        <s v="International Journal of Intelligent Systems and Applications in Engineering"/>
        <s v="International Journal of Sensor Networks"/>
        <s v="Internet of Things (The Netherlands)"/>
        <s v="Internet Technology Letters"/>
        <s v="Journal of Big Data"/>
        <s v="Journal of Cloud Computing"/>
        <s v="Journal of Grid Computing"/>
        <s v="Journal of Network and Systems Management"/>
        <s v="Journal of Robotics"/>
        <s v="Journal of Supercomputing"/>
        <s v="Multimedia Tools and Applications"/>
        <s v="PeerJ Computer Science"/>
        <s v="Proceedings of the ACM on Measurement and Analysis of Computing Systems"/>
        <s v="Proceedings of the ACM on Programming Languages"/>
        <s v="Proceedings of the VLDB Endowment"/>
        <s v="Sensors"/>
        <s v="Simulation Modelling Practice and Theory"/>
        <s v="SN Computer Science"/>
        <s v="Software - Practice and Experience"/>
        <s v="SoftwareX"/>
        <s v="VLDB Journal"/>
        <s v="Wireless Communications and Mobile Computing"/>
        <s v="Wireless Personal Communications"/>
        <s v="ACM TRANSACTIONS ON SOFTWARE ENGINEERING AND METHODOLOGY"/>
        <s v="CLUSTER COMPUTING-THE JOURNAL OF NETWORKS SOFTWARE TOOLS AND APPLICATIONS"/>
        <s v="COMPUTERS &amp; ELECTRICAL ENGINEERING"/>
        <s v="CONCURRENCY AND COMPUTATION-PRACTICE &amp; EXPERIENCE"/>
        <s v="FUTURE GENERATION COMPUTER SYSTEMS-THE INTERNATIONAL JOURNAL OF ESCIENCE"/>
        <s v="IEEE COMMUNICATIONS MAGAZINE"/>
        <s v="IEEE INTERNET COMPUTING"/>
        <s v="IEEE TRANSACTIONS ON INDUSTRIAL INFORMATICS"/>
        <s v="IEEE-ACM TRANSACTIONS ON NETWORKING"/>
        <s v="INTERNATIONAL JOURNAL OF GRID AND UTILITY COMPUTING"/>
        <s v="SCIENTIFIC REPORTS"/>
        <s v="SOFTWARE-PRACTICE &amp; EXPERIENC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6">
  <r>
    <x v="0"/>
    <x v="0"/>
    <x v="0"/>
  </r>
  <r>
    <x v="1"/>
    <x v="0"/>
    <x v="1"/>
  </r>
  <r>
    <x v="1"/>
    <x v="0"/>
    <x v="2"/>
  </r>
  <r>
    <x v="1"/>
    <x v="0"/>
    <x v="3"/>
  </r>
  <r>
    <x v="2"/>
    <x v="0"/>
    <x v="4"/>
  </r>
  <r>
    <x v="2"/>
    <x v="0"/>
    <x v="5"/>
  </r>
  <r>
    <x v="2"/>
    <x v="0"/>
    <x v="6"/>
  </r>
  <r>
    <x v="3"/>
    <x v="0"/>
    <x v="7"/>
  </r>
  <r>
    <x v="2"/>
    <x v="0"/>
    <x v="8"/>
  </r>
  <r>
    <x v="4"/>
    <x v="0"/>
    <x v="9"/>
  </r>
  <r>
    <x v="3"/>
    <x v="1"/>
    <x v="10"/>
  </r>
  <r>
    <x v="1"/>
    <x v="2"/>
    <x v="10"/>
  </r>
  <r>
    <x v="1"/>
    <x v="2"/>
    <x v="10"/>
  </r>
  <r>
    <x v="3"/>
    <x v="2"/>
    <x v="10"/>
  </r>
  <r>
    <x v="3"/>
    <x v="2"/>
    <x v="10"/>
  </r>
  <r>
    <x v="4"/>
    <x v="2"/>
    <x v="10"/>
  </r>
  <r>
    <x v="3"/>
    <x v="2"/>
    <x v="11"/>
  </r>
  <r>
    <x v="5"/>
    <x v="2"/>
    <x v="12"/>
  </r>
  <r>
    <x v="5"/>
    <x v="2"/>
    <x v="12"/>
  </r>
  <r>
    <x v="0"/>
    <x v="2"/>
    <x v="12"/>
  </r>
  <r>
    <x v="3"/>
    <x v="2"/>
    <x v="12"/>
  </r>
  <r>
    <x v="1"/>
    <x v="2"/>
    <x v="12"/>
  </r>
  <r>
    <x v="0"/>
    <x v="2"/>
    <x v="12"/>
  </r>
  <r>
    <x v="1"/>
    <x v="2"/>
    <x v="13"/>
  </r>
  <r>
    <x v="3"/>
    <x v="2"/>
    <x v="14"/>
  </r>
  <r>
    <x v="1"/>
    <x v="2"/>
    <x v="15"/>
  </r>
  <r>
    <x v="3"/>
    <x v="2"/>
    <x v="16"/>
  </r>
  <r>
    <x v="5"/>
    <x v="2"/>
    <x v="17"/>
  </r>
  <r>
    <x v="2"/>
    <x v="2"/>
    <x v="17"/>
  </r>
  <r>
    <x v="3"/>
    <x v="2"/>
    <x v="17"/>
  </r>
  <r>
    <x v="1"/>
    <x v="2"/>
    <x v="17"/>
  </r>
  <r>
    <x v="1"/>
    <x v="2"/>
    <x v="18"/>
  </r>
  <r>
    <x v="1"/>
    <x v="2"/>
    <x v="19"/>
  </r>
  <r>
    <x v="1"/>
    <x v="2"/>
    <x v="19"/>
  </r>
  <r>
    <x v="1"/>
    <x v="2"/>
    <x v="19"/>
  </r>
  <r>
    <x v="5"/>
    <x v="2"/>
    <x v="20"/>
  </r>
  <r>
    <x v="3"/>
    <x v="2"/>
    <x v="20"/>
  </r>
  <r>
    <x v="0"/>
    <x v="2"/>
    <x v="21"/>
  </r>
  <r>
    <x v="5"/>
    <x v="2"/>
    <x v="21"/>
  </r>
  <r>
    <x v="5"/>
    <x v="2"/>
    <x v="21"/>
  </r>
  <r>
    <x v="1"/>
    <x v="2"/>
    <x v="21"/>
  </r>
  <r>
    <x v="1"/>
    <x v="2"/>
    <x v="21"/>
  </r>
  <r>
    <x v="2"/>
    <x v="2"/>
    <x v="21"/>
  </r>
  <r>
    <x v="3"/>
    <x v="2"/>
    <x v="21"/>
  </r>
  <r>
    <x v="3"/>
    <x v="2"/>
    <x v="21"/>
  </r>
  <r>
    <x v="3"/>
    <x v="2"/>
    <x v="21"/>
  </r>
  <r>
    <x v="3"/>
    <x v="2"/>
    <x v="22"/>
  </r>
  <r>
    <x v="3"/>
    <x v="2"/>
    <x v="23"/>
  </r>
  <r>
    <x v="1"/>
    <x v="2"/>
    <x v="23"/>
  </r>
  <r>
    <x v="3"/>
    <x v="2"/>
    <x v="23"/>
  </r>
  <r>
    <x v="5"/>
    <x v="2"/>
    <x v="23"/>
  </r>
  <r>
    <x v="1"/>
    <x v="2"/>
    <x v="24"/>
  </r>
  <r>
    <x v="1"/>
    <x v="2"/>
    <x v="25"/>
  </r>
  <r>
    <x v="2"/>
    <x v="2"/>
    <x v="25"/>
  </r>
  <r>
    <x v="1"/>
    <x v="2"/>
    <x v="25"/>
  </r>
  <r>
    <x v="1"/>
    <x v="3"/>
    <x v="26"/>
  </r>
  <r>
    <x v="4"/>
    <x v="3"/>
    <x v="27"/>
  </r>
  <r>
    <x v="3"/>
    <x v="3"/>
    <x v="28"/>
  </r>
  <r>
    <x v="3"/>
    <x v="4"/>
    <x v="29"/>
  </r>
  <r>
    <x v="5"/>
    <x v="5"/>
    <x v="30"/>
  </r>
  <r>
    <x v="3"/>
    <x v="5"/>
    <x v="30"/>
  </r>
  <r>
    <x v="1"/>
    <x v="5"/>
    <x v="30"/>
  </r>
  <r>
    <x v="4"/>
    <x v="5"/>
    <x v="30"/>
  </r>
  <r>
    <x v="1"/>
    <x v="5"/>
    <x v="30"/>
  </r>
  <r>
    <x v="1"/>
    <x v="5"/>
    <x v="31"/>
  </r>
  <r>
    <x v="1"/>
    <x v="5"/>
    <x v="31"/>
  </r>
  <r>
    <x v="3"/>
    <x v="5"/>
    <x v="32"/>
  </r>
  <r>
    <x v="1"/>
    <x v="5"/>
    <x v="33"/>
  </r>
  <r>
    <x v="4"/>
    <x v="5"/>
    <x v="34"/>
  </r>
  <r>
    <x v="3"/>
    <x v="5"/>
    <x v="34"/>
  </r>
  <r>
    <x v="1"/>
    <x v="5"/>
    <x v="35"/>
  </r>
  <r>
    <x v="3"/>
    <x v="5"/>
    <x v="35"/>
  </r>
  <r>
    <x v="2"/>
    <x v="5"/>
    <x v="35"/>
  </r>
  <r>
    <x v="1"/>
    <x v="5"/>
    <x v="35"/>
  </r>
  <r>
    <x v="1"/>
    <x v="5"/>
    <x v="35"/>
  </r>
  <r>
    <x v="3"/>
    <x v="5"/>
    <x v="35"/>
  </r>
  <r>
    <x v="0"/>
    <x v="5"/>
    <x v="35"/>
  </r>
  <r>
    <x v="0"/>
    <x v="5"/>
    <x v="35"/>
  </r>
  <r>
    <x v="1"/>
    <x v="5"/>
    <x v="36"/>
  </r>
  <r>
    <x v="5"/>
    <x v="5"/>
    <x v="36"/>
  </r>
  <r>
    <x v="5"/>
    <x v="5"/>
    <x v="36"/>
  </r>
  <r>
    <x v="5"/>
    <x v="5"/>
    <x v="37"/>
  </r>
  <r>
    <x v="1"/>
    <x v="5"/>
    <x v="37"/>
  </r>
  <r>
    <x v="2"/>
    <x v="5"/>
    <x v="37"/>
  </r>
  <r>
    <x v="1"/>
    <x v="5"/>
    <x v="37"/>
  </r>
  <r>
    <x v="1"/>
    <x v="5"/>
    <x v="37"/>
  </r>
  <r>
    <x v="0"/>
    <x v="5"/>
    <x v="38"/>
  </r>
  <r>
    <x v="1"/>
    <x v="5"/>
    <x v="39"/>
  </r>
  <r>
    <x v="3"/>
    <x v="5"/>
    <x v="40"/>
  </r>
  <r>
    <x v="1"/>
    <x v="5"/>
    <x v="41"/>
  </r>
  <r>
    <x v="2"/>
    <x v="5"/>
    <x v="42"/>
  </r>
  <r>
    <x v="2"/>
    <x v="5"/>
    <x v="43"/>
  </r>
  <r>
    <x v="2"/>
    <x v="5"/>
    <x v="44"/>
  </r>
  <r>
    <x v="2"/>
    <x v="5"/>
    <x v="45"/>
  </r>
  <r>
    <x v="2"/>
    <x v="5"/>
    <x v="45"/>
  </r>
  <r>
    <x v="5"/>
    <x v="5"/>
    <x v="45"/>
  </r>
  <r>
    <x v="4"/>
    <x v="5"/>
    <x v="45"/>
  </r>
  <r>
    <x v="2"/>
    <x v="5"/>
    <x v="45"/>
  </r>
  <r>
    <x v="1"/>
    <x v="5"/>
    <x v="45"/>
  </r>
  <r>
    <x v="1"/>
    <x v="5"/>
    <x v="45"/>
  </r>
  <r>
    <x v="1"/>
    <x v="5"/>
    <x v="45"/>
  </r>
  <r>
    <x v="3"/>
    <x v="5"/>
    <x v="45"/>
  </r>
  <r>
    <x v="3"/>
    <x v="5"/>
    <x v="45"/>
  </r>
  <r>
    <x v="1"/>
    <x v="5"/>
    <x v="45"/>
  </r>
  <r>
    <x v="3"/>
    <x v="5"/>
    <x v="45"/>
  </r>
  <r>
    <x v="4"/>
    <x v="5"/>
    <x v="45"/>
  </r>
  <r>
    <x v="5"/>
    <x v="5"/>
    <x v="45"/>
  </r>
  <r>
    <x v="5"/>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1"/>
    <x v="5"/>
    <x v="45"/>
  </r>
  <r>
    <x v="3"/>
    <x v="5"/>
    <x v="45"/>
  </r>
  <r>
    <x v="3"/>
    <x v="5"/>
    <x v="45"/>
  </r>
  <r>
    <x v="0"/>
    <x v="5"/>
    <x v="45"/>
  </r>
  <r>
    <x v="3"/>
    <x v="5"/>
    <x v="45"/>
  </r>
  <r>
    <x v="2"/>
    <x v="5"/>
    <x v="45"/>
  </r>
  <r>
    <x v="2"/>
    <x v="5"/>
    <x v="45"/>
  </r>
  <r>
    <x v="1"/>
    <x v="5"/>
    <x v="45"/>
  </r>
  <r>
    <x v="0"/>
    <x v="5"/>
    <x v="45"/>
  </r>
  <r>
    <x v="5"/>
    <x v="5"/>
    <x v="45"/>
  </r>
  <r>
    <x v="3"/>
    <x v="5"/>
    <x v="45"/>
  </r>
  <r>
    <x v="2"/>
    <x v="5"/>
    <x v="46"/>
  </r>
  <r>
    <x v="1"/>
    <x v="5"/>
    <x v="47"/>
  </r>
  <r>
    <x v="2"/>
    <x v="5"/>
    <x v="47"/>
  </r>
  <r>
    <x v="3"/>
    <x v="5"/>
    <x v="48"/>
  </r>
  <r>
    <x v="1"/>
    <x v="5"/>
    <x v="49"/>
  </r>
  <r>
    <x v="1"/>
    <x v="5"/>
    <x v="50"/>
  </r>
  <r>
    <x v="5"/>
    <x v="5"/>
    <x v="51"/>
  </r>
  <r>
    <x v="4"/>
    <x v="5"/>
    <x v="52"/>
  </r>
  <r>
    <x v="2"/>
    <x v="5"/>
    <x v="53"/>
  </r>
  <r>
    <x v="0"/>
    <x v="5"/>
    <x v="54"/>
  </r>
  <r>
    <x v="1"/>
    <x v="5"/>
    <x v="54"/>
  </r>
  <r>
    <x v="3"/>
    <x v="5"/>
    <x v="55"/>
  </r>
  <r>
    <x v="1"/>
    <x v="5"/>
    <x v="55"/>
  </r>
  <r>
    <x v="4"/>
    <x v="5"/>
    <x v="55"/>
  </r>
  <r>
    <x v="3"/>
    <x v="5"/>
    <x v="56"/>
  </r>
  <r>
    <x v="3"/>
    <x v="5"/>
    <x v="56"/>
  </r>
  <r>
    <x v="1"/>
    <x v="5"/>
    <x v="56"/>
  </r>
  <r>
    <x v="1"/>
    <x v="5"/>
    <x v="56"/>
  </r>
  <r>
    <x v="1"/>
    <x v="5"/>
    <x v="56"/>
  </r>
  <r>
    <x v="1"/>
    <x v="5"/>
    <x v="56"/>
  </r>
  <r>
    <x v="1"/>
    <x v="5"/>
    <x v="57"/>
  </r>
  <r>
    <x v="3"/>
    <x v="5"/>
    <x v="57"/>
  </r>
  <r>
    <x v="3"/>
    <x v="5"/>
    <x v="57"/>
  </r>
  <r>
    <x v="1"/>
    <x v="5"/>
    <x v="57"/>
  </r>
  <r>
    <x v="0"/>
    <x v="5"/>
    <x v="57"/>
  </r>
  <r>
    <x v="1"/>
    <x v="5"/>
    <x v="57"/>
  </r>
  <r>
    <x v="0"/>
    <x v="5"/>
    <x v="57"/>
  </r>
  <r>
    <x v="2"/>
    <x v="5"/>
    <x v="57"/>
  </r>
  <r>
    <x v="1"/>
    <x v="5"/>
    <x v="57"/>
  </r>
  <r>
    <x v="3"/>
    <x v="5"/>
    <x v="58"/>
  </r>
  <r>
    <x v="1"/>
    <x v="5"/>
    <x v="58"/>
  </r>
  <r>
    <x v="4"/>
    <x v="5"/>
    <x v="59"/>
  </r>
  <r>
    <x v="3"/>
    <x v="5"/>
    <x v="59"/>
  </r>
  <r>
    <x v="2"/>
    <x v="5"/>
    <x v="60"/>
  </r>
  <r>
    <x v="4"/>
    <x v="5"/>
    <x v="61"/>
  </r>
  <r>
    <x v="1"/>
    <x v="5"/>
    <x v="61"/>
  </r>
  <r>
    <x v="0"/>
    <x v="5"/>
    <x v="62"/>
  </r>
  <r>
    <x v="3"/>
    <x v="5"/>
    <x v="62"/>
  </r>
  <r>
    <x v="4"/>
    <x v="5"/>
    <x v="62"/>
  </r>
  <r>
    <x v="3"/>
    <x v="5"/>
    <x v="62"/>
  </r>
  <r>
    <x v="1"/>
    <x v="5"/>
    <x v="62"/>
  </r>
  <r>
    <x v="4"/>
    <x v="5"/>
    <x v="62"/>
  </r>
  <r>
    <x v="2"/>
    <x v="5"/>
    <x v="62"/>
  </r>
  <r>
    <x v="3"/>
    <x v="5"/>
    <x v="63"/>
  </r>
  <r>
    <x v="0"/>
    <x v="5"/>
    <x v="64"/>
  </r>
  <r>
    <x v="3"/>
    <x v="6"/>
    <x v="30"/>
  </r>
  <r>
    <x v="3"/>
    <x v="6"/>
    <x v="30"/>
  </r>
  <r>
    <x v="3"/>
    <x v="6"/>
    <x v="30"/>
  </r>
  <r>
    <x v="1"/>
    <x v="6"/>
    <x v="26"/>
  </r>
  <r>
    <x v="2"/>
    <x v="6"/>
    <x v="65"/>
  </r>
  <r>
    <x v="1"/>
    <x v="6"/>
    <x v="65"/>
  </r>
  <r>
    <x v="1"/>
    <x v="6"/>
    <x v="31"/>
  </r>
  <r>
    <x v="3"/>
    <x v="6"/>
    <x v="66"/>
  </r>
  <r>
    <x v="1"/>
    <x v="6"/>
    <x v="67"/>
  </r>
  <r>
    <x v="0"/>
    <x v="6"/>
    <x v="68"/>
  </r>
  <r>
    <x v="2"/>
    <x v="6"/>
    <x v="68"/>
  </r>
  <r>
    <x v="5"/>
    <x v="6"/>
    <x v="68"/>
  </r>
  <r>
    <x v="5"/>
    <x v="6"/>
    <x v="68"/>
  </r>
  <r>
    <x v="1"/>
    <x v="6"/>
    <x v="68"/>
  </r>
  <r>
    <x v="1"/>
    <x v="6"/>
    <x v="68"/>
  </r>
  <r>
    <x v="1"/>
    <x v="6"/>
    <x v="68"/>
  </r>
  <r>
    <x v="3"/>
    <x v="6"/>
    <x v="68"/>
  </r>
  <r>
    <x v="3"/>
    <x v="6"/>
    <x v="68"/>
  </r>
  <r>
    <x v="3"/>
    <x v="6"/>
    <x v="68"/>
  </r>
  <r>
    <x v="4"/>
    <x v="6"/>
    <x v="35"/>
  </r>
  <r>
    <x v="4"/>
    <x v="6"/>
    <x v="35"/>
  </r>
  <r>
    <x v="2"/>
    <x v="6"/>
    <x v="35"/>
  </r>
  <r>
    <x v="4"/>
    <x v="6"/>
    <x v="27"/>
  </r>
  <r>
    <x v="1"/>
    <x v="6"/>
    <x v="37"/>
  </r>
  <r>
    <x v="0"/>
    <x v="6"/>
    <x v="69"/>
  </r>
  <r>
    <x v="3"/>
    <x v="6"/>
    <x v="69"/>
  </r>
  <r>
    <x v="3"/>
    <x v="6"/>
    <x v="69"/>
  </r>
  <r>
    <x v="3"/>
    <x v="6"/>
    <x v="69"/>
  </r>
  <r>
    <x v="3"/>
    <x v="6"/>
    <x v="69"/>
  </r>
  <r>
    <x v="2"/>
    <x v="6"/>
    <x v="70"/>
  </r>
  <r>
    <x v="5"/>
    <x v="6"/>
    <x v="70"/>
  </r>
  <r>
    <x v="3"/>
    <x v="6"/>
    <x v="70"/>
  </r>
  <r>
    <x v="0"/>
    <x v="6"/>
    <x v="71"/>
  </r>
  <r>
    <x v="0"/>
    <x v="6"/>
    <x v="71"/>
  </r>
  <r>
    <x v="2"/>
    <x v="6"/>
    <x v="71"/>
  </r>
  <r>
    <x v="1"/>
    <x v="6"/>
    <x v="71"/>
  </r>
  <r>
    <x v="1"/>
    <x v="6"/>
    <x v="71"/>
  </r>
  <r>
    <x v="3"/>
    <x v="6"/>
    <x v="72"/>
  </r>
  <r>
    <x v="1"/>
    <x v="6"/>
    <x v="73"/>
  </r>
  <r>
    <x v="0"/>
    <x v="6"/>
    <x v="45"/>
  </r>
  <r>
    <x v="0"/>
    <x v="6"/>
    <x v="45"/>
  </r>
  <r>
    <x v="2"/>
    <x v="6"/>
    <x v="45"/>
  </r>
  <r>
    <x v="5"/>
    <x v="6"/>
    <x v="45"/>
  </r>
  <r>
    <x v="5"/>
    <x v="6"/>
    <x v="45"/>
  </r>
  <r>
    <x v="5"/>
    <x v="6"/>
    <x v="45"/>
  </r>
  <r>
    <x v="1"/>
    <x v="6"/>
    <x v="45"/>
  </r>
  <r>
    <x v="1"/>
    <x v="6"/>
    <x v="45"/>
  </r>
  <r>
    <x v="1"/>
    <x v="6"/>
    <x v="45"/>
  </r>
  <r>
    <x v="1"/>
    <x v="6"/>
    <x v="45"/>
  </r>
  <r>
    <x v="1"/>
    <x v="6"/>
    <x v="45"/>
  </r>
  <r>
    <x v="1"/>
    <x v="6"/>
    <x v="45"/>
  </r>
  <r>
    <x v="1"/>
    <x v="6"/>
    <x v="45"/>
  </r>
  <r>
    <x v="1"/>
    <x v="6"/>
    <x v="45"/>
  </r>
  <r>
    <x v="1"/>
    <x v="6"/>
    <x v="45"/>
  </r>
  <r>
    <x v="1"/>
    <x v="6"/>
    <x v="45"/>
  </r>
  <r>
    <x v="1"/>
    <x v="6"/>
    <x v="45"/>
  </r>
  <r>
    <x v="1"/>
    <x v="6"/>
    <x v="45"/>
  </r>
  <r>
    <x v="1"/>
    <x v="6"/>
    <x v="45"/>
  </r>
  <r>
    <x v="1"/>
    <x v="6"/>
    <x v="45"/>
  </r>
  <r>
    <x v="1"/>
    <x v="6"/>
    <x v="45"/>
  </r>
  <r>
    <x v="1"/>
    <x v="6"/>
    <x v="45"/>
  </r>
  <r>
    <x v="3"/>
    <x v="6"/>
    <x v="45"/>
  </r>
  <r>
    <x v="3"/>
    <x v="6"/>
    <x v="45"/>
  </r>
  <r>
    <x v="3"/>
    <x v="6"/>
    <x v="45"/>
  </r>
  <r>
    <x v="2"/>
    <x v="6"/>
    <x v="74"/>
  </r>
  <r>
    <x v="1"/>
    <x v="6"/>
    <x v="74"/>
  </r>
  <r>
    <x v="1"/>
    <x v="6"/>
    <x v="75"/>
  </r>
  <r>
    <x v="1"/>
    <x v="6"/>
    <x v="76"/>
  </r>
  <r>
    <x v="3"/>
    <x v="6"/>
    <x v="47"/>
  </r>
  <r>
    <x v="3"/>
    <x v="6"/>
    <x v="48"/>
  </r>
  <r>
    <x v="1"/>
    <x v="6"/>
    <x v="77"/>
  </r>
  <r>
    <x v="1"/>
    <x v="6"/>
    <x v="77"/>
  </r>
  <r>
    <x v="3"/>
    <x v="6"/>
    <x v="77"/>
  </r>
  <r>
    <x v="4"/>
    <x v="6"/>
    <x v="78"/>
  </r>
  <r>
    <x v="1"/>
    <x v="6"/>
    <x v="78"/>
  </r>
  <r>
    <x v="3"/>
    <x v="6"/>
    <x v="79"/>
  </r>
  <r>
    <x v="3"/>
    <x v="6"/>
    <x v="79"/>
  </r>
  <r>
    <x v="2"/>
    <x v="6"/>
    <x v="80"/>
  </r>
  <r>
    <x v="5"/>
    <x v="6"/>
    <x v="80"/>
  </r>
  <r>
    <x v="5"/>
    <x v="6"/>
    <x v="81"/>
  </r>
  <r>
    <x v="1"/>
    <x v="6"/>
    <x v="82"/>
  </r>
  <r>
    <x v="1"/>
    <x v="6"/>
    <x v="83"/>
  </r>
  <r>
    <x v="1"/>
    <x v="6"/>
    <x v="83"/>
  </r>
  <r>
    <x v="3"/>
    <x v="6"/>
    <x v="84"/>
  </r>
  <r>
    <x v="1"/>
    <x v="6"/>
    <x v="85"/>
  </r>
  <r>
    <x v="1"/>
    <x v="6"/>
    <x v="86"/>
  </r>
  <r>
    <x v="5"/>
    <x v="6"/>
    <x v="87"/>
  </r>
  <r>
    <x v="2"/>
    <x v="6"/>
    <x v="88"/>
  </r>
  <r>
    <x v="1"/>
    <x v="6"/>
    <x v="88"/>
  </r>
  <r>
    <x v="1"/>
    <x v="6"/>
    <x v="54"/>
  </r>
  <r>
    <x v="1"/>
    <x v="6"/>
    <x v="55"/>
  </r>
  <r>
    <x v="1"/>
    <x v="6"/>
    <x v="89"/>
  </r>
  <r>
    <x v="1"/>
    <x v="6"/>
    <x v="56"/>
  </r>
  <r>
    <x v="1"/>
    <x v="6"/>
    <x v="56"/>
  </r>
  <r>
    <x v="5"/>
    <x v="6"/>
    <x v="90"/>
  </r>
  <r>
    <x v="2"/>
    <x v="6"/>
    <x v="91"/>
  </r>
  <r>
    <x v="2"/>
    <x v="6"/>
    <x v="91"/>
  </r>
  <r>
    <x v="2"/>
    <x v="6"/>
    <x v="91"/>
  </r>
  <r>
    <x v="5"/>
    <x v="6"/>
    <x v="91"/>
  </r>
  <r>
    <x v="1"/>
    <x v="6"/>
    <x v="91"/>
  </r>
  <r>
    <x v="3"/>
    <x v="6"/>
    <x v="91"/>
  </r>
  <r>
    <x v="4"/>
    <x v="6"/>
    <x v="57"/>
  </r>
  <r>
    <x v="2"/>
    <x v="6"/>
    <x v="57"/>
  </r>
  <r>
    <x v="5"/>
    <x v="6"/>
    <x v="57"/>
  </r>
  <r>
    <x v="3"/>
    <x v="6"/>
    <x v="57"/>
  </r>
  <r>
    <x v="5"/>
    <x v="6"/>
    <x v="58"/>
  </r>
  <r>
    <x v="2"/>
    <x v="6"/>
    <x v="92"/>
  </r>
  <r>
    <x v="1"/>
    <x v="6"/>
    <x v="93"/>
  </r>
  <r>
    <x v="3"/>
    <x v="6"/>
    <x v="60"/>
  </r>
  <r>
    <x v="5"/>
    <x v="6"/>
    <x v="61"/>
  </r>
  <r>
    <x v="1"/>
    <x v="6"/>
    <x v="61"/>
  </r>
  <r>
    <x v="2"/>
    <x v="6"/>
    <x v="94"/>
  </r>
  <r>
    <x v="2"/>
    <x v="6"/>
    <x v="94"/>
  </r>
  <r>
    <x v="1"/>
    <x v="6"/>
    <x v="94"/>
  </r>
  <r>
    <x v="3"/>
    <x v="6"/>
    <x v="94"/>
  </r>
  <r>
    <x v="3"/>
    <x v="6"/>
    <x v="94"/>
  </r>
  <r>
    <x v="3"/>
    <x v="6"/>
    <x v="95"/>
  </r>
  <r>
    <x v="4"/>
    <x v="6"/>
    <x v="96"/>
  </r>
  <r>
    <x v="3"/>
    <x v="6"/>
    <x v="63"/>
  </r>
  <r>
    <x v="0"/>
    <x v="6"/>
    <x v="97"/>
  </r>
  <r>
    <x v="2"/>
    <x v="6"/>
    <x v="97"/>
  </r>
  <r>
    <x v="5"/>
    <x v="6"/>
    <x v="97"/>
  </r>
  <r>
    <x v="5"/>
    <x v="6"/>
    <x v="97"/>
  </r>
  <r>
    <x v="1"/>
    <x v="6"/>
    <x v="97"/>
  </r>
  <r>
    <x v="2"/>
    <x v="6"/>
    <x v="98"/>
  </r>
  <r>
    <x v="5"/>
    <x v="6"/>
    <x v="98"/>
  </r>
  <r>
    <x v="1"/>
    <x v="6"/>
    <x v="98"/>
  </r>
  <r>
    <x v="3"/>
    <x v="6"/>
    <x v="98"/>
  </r>
  <r>
    <x v="5"/>
    <x v="6"/>
    <x v="99"/>
  </r>
  <r>
    <x v="1"/>
    <x v="6"/>
    <x v="99"/>
  </r>
  <r>
    <x v="3"/>
    <x v="6"/>
    <x v="99"/>
  </r>
  <r>
    <x v="3"/>
    <x v="6"/>
    <x v="99"/>
  </r>
  <r>
    <x v="2"/>
    <x v="6"/>
    <x v="100"/>
  </r>
  <r>
    <x v="1"/>
    <x v="6"/>
    <x v="100"/>
  </r>
  <r>
    <x v="5"/>
    <x v="6"/>
    <x v="101"/>
  </r>
  <r>
    <x v="1"/>
    <x v="6"/>
    <x v="102"/>
  </r>
  <r>
    <x v="2"/>
    <x v="6"/>
    <x v="103"/>
  </r>
  <r>
    <x v="0"/>
    <x v="6"/>
    <x v="104"/>
  </r>
  <r>
    <x v="5"/>
    <x v="6"/>
    <x v="104"/>
  </r>
  <r>
    <x v="5"/>
    <x v="7"/>
    <x v="105"/>
  </r>
  <r>
    <x v="5"/>
    <x v="7"/>
    <x v="106"/>
  </r>
  <r>
    <x v="4"/>
    <x v="7"/>
    <x v="27"/>
  </r>
  <r>
    <x v="1"/>
    <x v="7"/>
    <x v="27"/>
  </r>
  <r>
    <x v="1"/>
    <x v="7"/>
    <x v="107"/>
  </r>
  <r>
    <x v="5"/>
    <x v="7"/>
    <x v="108"/>
  </r>
  <r>
    <x v="0"/>
    <x v="7"/>
    <x v="109"/>
  </r>
  <r>
    <x v="5"/>
    <x v="7"/>
    <x v="109"/>
  </r>
  <r>
    <x v="5"/>
    <x v="7"/>
    <x v="109"/>
  </r>
  <r>
    <x v="1"/>
    <x v="7"/>
    <x v="109"/>
  </r>
  <r>
    <x v="1"/>
    <x v="7"/>
    <x v="109"/>
  </r>
  <r>
    <x v="1"/>
    <x v="7"/>
    <x v="109"/>
  </r>
  <r>
    <x v="1"/>
    <x v="7"/>
    <x v="10"/>
  </r>
  <r>
    <x v="1"/>
    <x v="7"/>
    <x v="10"/>
  </r>
  <r>
    <x v="3"/>
    <x v="7"/>
    <x v="10"/>
  </r>
  <r>
    <x v="1"/>
    <x v="7"/>
    <x v="110"/>
  </r>
  <r>
    <x v="1"/>
    <x v="7"/>
    <x v="111"/>
  </r>
  <r>
    <x v="0"/>
    <x v="7"/>
    <x v="12"/>
  </r>
  <r>
    <x v="5"/>
    <x v="7"/>
    <x v="12"/>
  </r>
  <r>
    <x v="1"/>
    <x v="7"/>
    <x v="12"/>
  </r>
  <r>
    <x v="1"/>
    <x v="7"/>
    <x v="15"/>
  </r>
  <r>
    <x v="3"/>
    <x v="7"/>
    <x v="16"/>
  </r>
  <r>
    <x v="2"/>
    <x v="7"/>
    <x v="17"/>
  </r>
  <r>
    <x v="5"/>
    <x v="7"/>
    <x v="17"/>
  </r>
  <r>
    <x v="1"/>
    <x v="7"/>
    <x v="17"/>
  </r>
  <r>
    <x v="1"/>
    <x v="7"/>
    <x v="17"/>
  </r>
  <r>
    <x v="1"/>
    <x v="7"/>
    <x v="17"/>
  </r>
  <r>
    <x v="3"/>
    <x v="7"/>
    <x v="17"/>
  </r>
  <r>
    <x v="5"/>
    <x v="7"/>
    <x v="18"/>
  </r>
  <r>
    <x v="1"/>
    <x v="7"/>
    <x v="18"/>
  </r>
  <r>
    <x v="5"/>
    <x v="7"/>
    <x v="112"/>
  </r>
  <r>
    <x v="1"/>
    <x v="7"/>
    <x v="19"/>
  </r>
  <r>
    <x v="1"/>
    <x v="7"/>
    <x v="19"/>
  </r>
  <r>
    <x v="4"/>
    <x v="7"/>
    <x v="20"/>
  </r>
  <r>
    <x v="3"/>
    <x v="7"/>
    <x v="20"/>
  </r>
  <r>
    <x v="0"/>
    <x v="7"/>
    <x v="21"/>
  </r>
  <r>
    <x v="2"/>
    <x v="7"/>
    <x v="21"/>
  </r>
  <r>
    <x v="5"/>
    <x v="7"/>
    <x v="21"/>
  </r>
  <r>
    <x v="5"/>
    <x v="7"/>
    <x v="21"/>
  </r>
  <r>
    <x v="1"/>
    <x v="7"/>
    <x v="21"/>
  </r>
  <r>
    <x v="3"/>
    <x v="7"/>
    <x v="22"/>
  </r>
  <r>
    <x v="1"/>
    <x v="7"/>
    <x v="23"/>
  </r>
  <r>
    <x v="3"/>
    <x v="7"/>
    <x v="23"/>
  </r>
  <r>
    <x v="2"/>
    <x v="7"/>
    <x v="113"/>
  </r>
  <r>
    <x v="1"/>
    <x v="7"/>
    <x v="113"/>
  </r>
  <r>
    <x v="1"/>
    <x v="7"/>
    <x v="113"/>
  </r>
  <r>
    <x v="5"/>
    <x v="7"/>
    <x v="47"/>
  </r>
  <r>
    <x v="2"/>
    <x v="7"/>
    <x v="114"/>
  </r>
  <r>
    <x v="1"/>
    <x v="7"/>
    <x v="88"/>
  </r>
  <r>
    <x v="2"/>
    <x v="7"/>
    <x v="94"/>
  </r>
  <r>
    <x v="3"/>
    <x v="7"/>
    <x v="115"/>
  </r>
  <r>
    <x v="5"/>
    <x v="7"/>
    <x v="116"/>
  </r>
  <r>
    <x v="1"/>
    <x v="7"/>
    <x v="116"/>
  </r>
  <r>
    <x v="0"/>
    <x v="7"/>
    <x v="1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8EB384-C480-46E4-BD78-49F8BCBE27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urnals Title">
  <location ref="AA3:AB121" firstHeaderRow="1" firstDataRow="1" firstDataCol="1"/>
  <pivotFields count="3">
    <pivotField showAll="0"/>
    <pivotField showAll="0"/>
    <pivotField axis="axisRow" dataField="1" showAll="0" sortType="ascending">
      <items count="118">
        <item x="0"/>
        <item x="1"/>
        <item x="2"/>
        <item x="3"/>
        <item x="4"/>
        <item x="5"/>
        <item x="6"/>
        <item x="7"/>
        <item x="105"/>
        <item x="30"/>
        <item x="26"/>
        <item x="65"/>
        <item x="31"/>
        <item x="66"/>
        <item x="32"/>
        <item x="67"/>
        <item x="68"/>
        <item x="106"/>
        <item x="33"/>
        <item x="34"/>
        <item x="35"/>
        <item x="27"/>
        <item x="107"/>
        <item x="36"/>
        <item x="37"/>
        <item x="38"/>
        <item x="39"/>
        <item x="69"/>
        <item x="70"/>
        <item x="108"/>
        <item x="40"/>
        <item x="41"/>
        <item x="71"/>
        <item x="72"/>
        <item x="42"/>
        <item x="43"/>
        <item x="44"/>
        <item x="73"/>
        <item x="45"/>
        <item x="109"/>
        <item x="74"/>
        <item x="46"/>
        <item x="75"/>
        <item x="10"/>
        <item x="110"/>
        <item x="11"/>
        <item x="111"/>
        <item x="12"/>
        <item x="13"/>
        <item x="14"/>
        <item x="15"/>
        <item x="16"/>
        <item x="17"/>
        <item x="18"/>
        <item x="112"/>
        <item x="19"/>
        <item x="20"/>
        <item x="21"/>
        <item x="22"/>
        <item x="23"/>
        <item x="24"/>
        <item x="8"/>
        <item x="25"/>
        <item x="113"/>
        <item x="76"/>
        <item x="47"/>
        <item x="48"/>
        <item x="49"/>
        <item x="50"/>
        <item x="77"/>
        <item x="78"/>
        <item x="51"/>
        <item x="79"/>
        <item x="52"/>
        <item x="114"/>
        <item x="80"/>
        <item x="81"/>
        <item x="82"/>
        <item x="83"/>
        <item x="84"/>
        <item x="85"/>
        <item x="86"/>
        <item x="87"/>
        <item x="53"/>
        <item x="88"/>
        <item x="54"/>
        <item x="55"/>
        <item x="89"/>
        <item x="56"/>
        <item x="90"/>
        <item x="91"/>
        <item x="57"/>
        <item x="58"/>
        <item x="29"/>
        <item x="59"/>
        <item x="92"/>
        <item x="93"/>
        <item x="60"/>
        <item x="61"/>
        <item x="9"/>
        <item x="62"/>
        <item x="94"/>
        <item x="95"/>
        <item x="96"/>
        <item x="63"/>
        <item x="115"/>
        <item x="97"/>
        <item x="98"/>
        <item x="99"/>
        <item x="100"/>
        <item x="116"/>
        <item x="101"/>
        <item x="28"/>
        <item x="64"/>
        <item x="102"/>
        <item x="103"/>
        <item x="104"/>
        <item t="default"/>
      </items>
    </pivotField>
  </pivotFields>
  <rowFields count="1">
    <field x="2"/>
  </rowFields>
  <rowItems count="1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t="grand">
      <x/>
    </i>
  </rowItems>
  <colItems count="1">
    <i/>
  </colItems>
  <dataFields count="1">
    <dataField name="Count of Publicatoin" fld="2" subtotal="count" baseField="0" baseItem="0"/>
  </dataFields>
  <formats count="50">
    <format dxfId="64">
      <pivotArea collapsedLevelsAreSubtotals="1" fieldPosition="0">
        <references count="1">
          <reference field="2" count="1">
            <x v="9"/>
          </reference>
        </references>
      </pivotArea>
    </format>
    <format dxfId="63">
      <pivotArea dataOnly="0" labelOnly="1" fieldPosition="0">
        <references count="1">
          <reference field="2" count="1">
            <x v="9"/>
          </reference>
        </references>
      </pivotArea>
    </format>
    <format dxfId="62">
      <pivotArea collapsedLevelsAreSubtotals="1" fieldPosition="0">
        <references count="1">
          <reference field="2" count="1">
            <x v="16"/>
          </reference>
        </references>
      </pivotArea>
    </format>
    <format dxfId="61">
      <pivotArea dataOnly="0" labelOnly="1" fieldPosition="0">
        <references count="1">
          <reference field="2" count="1">
            <x v="16"/>
          </reference>
        </references>
      </pivotArea>
    </format>
    <format dxfId="60">
      <pivotArea collapsedLevelsAreSubtotals="1" fieldPosition="0">
        <references count="1">
          <reference field="2" count="1">
            <x v="20"/>
          </reference>
        </references>
      </pivotArea>
    </format>
    <format dxfId="59">
      <pivotArea dataOnly="0" labelOnly="1" fieldPosition="0">
        <references count="1">
          <reference field="2" count="1">
            <x v="20"/>
          </reference>
        </references>
      </pivotArea>
    </format>
    <format dxfId="58">
      <pivotArea collapsedLevelsAreSubtotals="1" fieldPosition="0">
        <references count="1">
          <reference field="2" count="1">
            <x v="24"/>
          </reference>
        </references>
      </pivotArea>
    </format>
    <format dxfId="57">
      <pivotArea dataOnly="0" labelOnly="1" fieldPosition="0">
        <references count="1">
          <reference field="2" count="1">
            <x v="24"/>
          </reference>
        </references>
      </pivotArea>
    </format>
    <format dxfId="56">
      <pivotArea collapsedLevelsAreSubtotals="1" fieldPosition="0">
        <references count="1">
          <reference field="2" count="1">
            <x v="27"/>
          </reference>
        </references>
      </pivotArea>
    </format>
    <format dxfId="55">
      <pivotArea dataOnly="0" labelOnly="1" fieldPosition="0">
        <references count="1">
          <reference field="2" count="1">
            <x v="27"/>
          </reference>
        </references>
      </pivotArea>
    </format>
    <format dxfId="54">
      <pivotArea collapsedLevelsAreSubtotals="1" fieldPosition="0">
        <references count="1">
          <reference field="2" count="1">
            <x v="32"/>
          </reference>
        </references>
      </pivotArea>
    </format>
    <format dxfId="53">
      <pivotArea dataOnly="0" labelOnly="1" fieldPosition="0">
        <references count="1">
          <reference field="2" count="1">
            <x v="32"/>
          </reference>
        </references>
      </pivotArea>
    </format>
    <format dxfId="52">
      <pivotArea collapsedLevelsAreSubtotals="1" fieldPosition="0">
        <references count="1">
          <reference field="2" count="1">
            <x v="38"/>
          </reference>
        </references>
      </pivotArea>
    </format>
    <format dxfId="51">
      <pivotArea dataOnly="0" labelOnly="1" fieldPosition="0">
        <references count="1">
          <reference field="2" count="1">
            <x v="38"/>
          </reference>
        </references>
      </pivotArea>
    </format>
    <format dxfId="50">
      <pivotArea collapsedLevelsAreSubtotals="1" fieldPosition="0">
        <references count="1">
          <reference field="2" count="1">
            <x v="39"/>
          </reference>
        </references>
      </pivotArea>
    </format>
    <format dxfId="49">
      <pivotArea dataOnly="0" labelOnly="1" fieldPosition="0">
        <references count="1">
          <reference field="2" count="1">
            <x v="39"/>
          </reference>
        </references>
      </pivotArea>
    </format>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3">
      <pivotArea dataOnly="0" labelOnly="1" fieldPosition="0">
        <references count="1">
          <reference field="2" count="17">
            <x v="100"/>
            <x v="101"/>
            <x v="102"/>
            <x v="103"/>
            <x v="104"/>
            <x v="105"/>
            <x v="106"/>
            <x v="107"/>
            <x v="108"/>
            <x v="109"/>
            <x v="110"/>
            <x v="111"/>
            <x v="112"/>
            <x v="113"/>
            <x v="114"/>
            <x v="115"/>
            <x v="116"/>
          </reference>
        </references>
      </pivotArea>
    </format>
    <format dxfId="42">
      <pivotArea dataOnly="0" labelOnly="1" grandRow="1" outline="0" fieldPosition="0"/>
    </format>
    <format dxfId="41">
      <pivotArea dataOnly="0" labelOnly="1" outline="0" axis="axisValues" fieldPosition="0"/>
    </format>
    <format dxfId="40">
      <pivotArea collapsedLevelsAreSubtotals="1" fieldPosition="0">
        <references count="1">
          <reference field="2" count="1">
            <x v="43"/>
          </reference>
        </references>
      </pivotArea>
    </format>
    <format dxfId="39">
      <pivotArea dataOnly="0" labelOnly="1" fieldPosition="0">
        <references count="1">
          <reference field="2" count="1">
            <x v="43"/>
          </reference>
        </references>
      </pivotArea>
    </format>
    <format dxfId="38">
      <pivotArea collapsedLevelsAreSubtotals="1" fieldPosition="0">
        <references count="1">
          <reference field="2" count="1">
            <x v="47"/>
          </reference>
        </references>
      </pivotArea>
    </format>
    <format dxfId="37">
      <pivotArea dataOnly="0" labelOnly="1" fieldPosition="0">
        <references count="1">
          <reference field="2" count="1">
            <x v="47"/>
          </reference>
        </references>
      </pivotArea>
    </format>
    <format dxfId="36">
      <pivotArea collapsedLevelsAreSubtotals="1" fieldPosition="0">
        <references count="1">
          <reference field="2" count="2">
            <x v="51"/>
            <x v="52"/>
          </reference>
        </references>
      </pivotArea>
    </format>
    <format dxfId="35">
      <pivotArea dataOnly="0" labelOnly="1" fieldPosition="0">
        <references count="1">
          <reference field="2" count="2">
            <x v="51"/>
            <x v="52"/>
          </reference>
        </references>
      </pivotArea>
    </format>
    <format dxfId="34">
      <pivotArea collapsedLevelsAreSubtotals="1" fieldPosition="0">
        <references count="1">
          <reference field="2" count="1">
            <x v="51"/>
          </reference>
        </references>
      </pivotArea>
    </format>
    <format dxfId="33">
      <pivotArea dataOnly="0" labelOnly="1" fieldPosition="0">
        <references count="1">
          <reference field="2" count="1">
            <x v="51"/>
          </reference>
        </references>
      </pivotArea>
    </format>
    <format dxfId="32">
      <pivotArea collapsedLevelsAreSubtotals="1" fieldPosition="0">
        <references count="1">
          <reference field="2" count="1">
            <x v="55"/>
          </reference>
        </references>
      </pivotArea>
    </format>
    <format dxfId="31">
      <pivotArea dataOnly="0" labelOnly="1" fieldPosition="0">
        <references count="1">
          <reference field="2" count="1">
            <x v="55"/>
          </reference>
        </references>
      </pivotArea>
    </format>
    <format dxfId="30">
      <pivotArea collapsedLevelsAreSubtotals="1" fieldPosition="0">
        <references count="1">
          <reference field="2" count="1">
            <x v="57"/>
          </reference>
        </references>
      </pivotArea>
    </format>
    <format dxfId="29">
      <pivotArea dataOnly="0" labelOnly="1" fieldPosition="0">
        <references count="1">
          <reference field="2" count="1">
            <x v="57"/>
          </reference>
        </references>
      </pivotArea>
    </format>
    <format dxfId="28">
      <pivotArea collapsedLevelsAreSubtotals="1" fieldPosition="0">
        <references count="1">
          <reference field="2" count="1">
            <x v="59"/>
          </reference>
        </references>
      </pivotArea>
    </format>
    <format dxfId="27">
      <pivotArea dataOnly="0" labelOnly="1" fieldPosition="0">
        <references count="1">
          <reference field="2" count="1">
            <x v="59"/>
          </reference>
        </references>
      </pivotArea>
    </format>
    <format dxfId="26">
      <pivotArea collapsedLevelsAreSubtotals="1" fieldPosition="0">
        <references count="1">
          <reference field="2" count="1">
            <x v="21"/>
          </reference>
        </references>
      </pivotArea>
    </format>
    <format dxfId="25">
      <pivotArea dataOnly="0" labelOnly="1" fieldPosition="0">
        <references count="1">
          <reference field="2" count="1">
            <x v="21"/>
          </reference>
        </references>
      </pivotArea>
    </format>
    <format dxfId="24">
      <pivotArea collapsedLevelsAreSubtotals="1" fieldPosition="0">
        <references count="1">
          <reference field="2" count="1">
            <x v="88"/>
          </reference>
        </references>
      </pivotArea>
    </format>
    <format dxfId="23">
      <pivotArea dataOnly="0" labelOnly="1" fieldPosition="0">
        <references count="1">
          <reference field="2" count="1">
            <x v="88"/>
          </reference>
        </references>
      </pivotArea>
    </format>
    <format dxfId="22">
      <pivotArea collapsedLevelsAreSubtotals="1" fieldPosition="0">
        <references count="1">
          <reference field="2" count="2">
            <x v="90"/>
            <x v="91"/>
          </reference>
        </references>
      </pivotArea>
    </format>
    <format dxfId="21">
      <pivotArea dataOnly="0" labelOnly="1" fieldPosition="0">
        <references count="1">
          <reference field="2" count="2">
            <x v="90"/>
            <x v="91"/>
          </reference>
        </references>
      </pivotArea>
    </format>
    <format dxfId="20">
      <pivotArea collapsedLevelsAreSubtotals="1" fieldPosition="0">
        <references count="1">
          <reference field="2" count="2">
            <x v="100"/>
            <x v="101"/>
          </reference>
        </references>
      </pivotArea>
    </format>
    <format dxfId="19">
      <pivotArea dataOnly="0" labelOnly="1" fieldPosition="0">
        <references count="1">
          <reference field="2" count="2">
            <x v="100"/>
            <x v="101"/>
          </reference>
        </references>
      </pivotArea>
    </format>
    <format dxfId="18">
      <pivotArea collapsedLevelsAreSubtotals="1" fieldPosition="0">
        <references count="1">
          <reference field="2" count="1">
            <x v="106"/>
          </reference>
        </references>
      </pivotArea>
    </format>
    <format dxfId="17">
      <pivotArea dataOnly="0" labelOnly="1" fieldPosition="0">
        <references count="1">
          <reference field="2" count="1">
            <x v="106"/>
          </reference>
        </references>
      </pivotArea>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C691A7-A78F-482B-8943-0EF358BB80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R3:Y13" firstHeaderRow="1" firstDataRow="2" firstDataCol="1" rowPageCount="1" colPageCount="1"/>
  <pivotFields count="3">
    <pivotField axis="axisCol" showAll="0">
      <items count="7">
        <item x="4"/>
        <item x="0"/>
        <item x="2"/>
        <item x="5"/>
        <item x="1"/>
        <item x="3"/>
        <item t="default"/>
      </items>
    </pivotField>
    <pivotField axis="axisRow" showAll="0">
      <items count="9">
        <item x="0"/>
        <item x="1"/>
        <item x="2"/>
        <item x="3"/>
        <item x="4"/>
        <item x="5"/>
        <item x="6"/>
        <item x="7"/>
        <item t="default"/>
      </items>
    </pivotField>
    <pivotField name="Table 1" axis="axisPage" dataField="1" showAll="0">
      <items count="118">
        <item x="0"/>
        <item x="1"/>
        <item x="2"/>
        <item x="3"/>
        <item x="4"/>
        <item x="5"/>
        <item x="6"/>
        <item x="7"/>
        <item x="105"/>
        <item x="30"/>
        <item x="26"/>
        <item x="65"/>
        <item x="31"/>
        <item x="66"/>
        <item x="32"/>
        <item x="67"/>
        <item x="68"/>
        <item x="106"/>
        <item x="33"/>
        <item x="34"/>
        <item x="35"/>
        <item x="27"/>
        <item x="107"/>
        <item x="36"/>
        <item x="37"/>
        <item x="38"/>
        <item x="39"/>
        <item x="69"/>
        <item x="70"/>
        <item x="108"/>
        <item x="40"/>
        <item x="41"/>
        <item x="71"/>
        <item x="72"/>
        <item x="42"/>
        <item x="43"/>
        <item x="44"/>
        <item x="73"/>
        <item x="45"/>
        <item x="109"/>
        <item x="74"/>
        <item x="46"/>
        <item x="75"/>
        <item x="10"/>
        <item x="110"/>
        <item x="11"/>
        <item x="111"/>
        <item x="12"/>
        <item x="13"/>
        <item x="14"/>
        <item x="15"/>
        <item x="16"/>
        <item x="17"/>
        <item x="18"/>
        <item x="112"/>
        <item x="19"/>
        <item x="20"/>
        <item x="21"/>
        <item x="22"/>
        <item x="23"/>
        <item x="24"/>
        <item x="8"/>
        <item x="25"/>
        <item x="113"/>
        <item x="76"/>
        <item x="47"/>
        <item x="48"/>
        <item x="49"/>
        <item x="50"/>
        <item x="77"/>
        <item x="78"/>
        <item x="51"/>
        <item x="79"/>
        <item x="52"/>
        <item x="114"/>
        <item x="80"/>
        <item x="81"/>
        <item x="82"/>
        <item x="83"/>
        <item x="84"/>
        <item x="85"/>
        <item x="86"/>
        <item x="87"/>
        <item x="53"/>
        <item x="88"/>
        <item x="54"/>
        <item x="55"/>
        <item x="89"/>
        <item x="56"/>
        <item x="90"/>
        <item x="91"/>
        <item x="57"/>
        <item x="58"/>
        <item x="29"/>
        <item x="59"/>
        <item x="92"/>
        <item x="93"/>
        <item x="60"/>
        <item x="61"/>
        <item x="9"/>
        <item x="62"/>
        <item x="94"/>
        <item x="95"/>
        <item x="96"/>
        <item x="63"/>
        <item x="115"/>
        <item x="97"/>
        <item x="98"/>
        <item x="99"/>
        <item x="100"/>
        <item x="116"/>
        <item x="101"/>
        <item x="28"/>
        <item x="64"/>
        <item x="102"/>
        <item x="103"/>
        <item x="104"/>
        <item t="default"/>
      </items>
    </pivotField>
  </pivotFields>
  <rowFields count="1">
    <field x="1"/>
  </rowFields>
  <rowItems count="9">
    <i>
      <x/>
    </i>
    <i>
      <x v="1"/>
    </i>
    <i>
      <x v="2"/>
    </i>
    <i>
      <x v="3"/>
    </i>
    <i>
      <x v="4"/>
    </i>
    <i>
      <x v="5"/>
    </i>
    <i>
      <x v="6"/>
    </i>
    <i>
      <x v="7"/>
    </i>
    <i t="grand">
      <x/>
    </i>
  </rowItems>
  <colFields count="1">
    <field x="0"/>
  </colFields>
  <colItems count="7">
    <i>
      <x/>
    </i>
    <i>
      <x v="1"/>
    </i>
    <i>
      <x v="2"/>
    </i>
    <i>
      <x v="3"/>
    </i>
    <i>
      <x v="4"/>
    </i>
    <i>
      <x v="5"/>
    </i>
    <i t="grand">
      <x/>
    </i>
  </colItems>
  <pageFields count="1">
    <pageField fld="2" hier="-1"/>
  </pageFields>
  <dataFields count="1">
    <dataField name="Publication over Database By Years" fld="2" subtotal="count" baseField="0" baseItem="0"/>
  </dataFields>
  <formats count="10">
    <format dxfId="74">
      <pivotArea type="all" dataOnly="0" outline="0" fieldPosition="0"/>
    </format>
    <format dxfId="73">
      <pivotArea outline="0" collapsedLevelsAreSubtotals="1" fieldPosition="0"/>
    </format>
    <format dxfId="72">
      <pivotArea type="origin" dataOnly="0" labelOnly="1" outline="0" fieldPosition="0"/>
    </format>
    <format dxfId="71">
      <pivotArea field="0" type="button" dataOnly="0" labelOnly="1" outline="0" axis="axisCol" fieldPosition="0"/>
    </format>
    <format dxfId="70">
      <pivotArea type="topRight" dataOnly="0" labelOnly="1" outline="0"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labelOnly="1" fieldPosition="0">
        <references count="1">
          <reference field="0" count="0"/>
        </references>
      </pivotArea>
    </format>
    <format dxfId="65">
      <pivotArea dataOnly="0" labelOnly="1" grandCol="1" outline="0" fieldPosition="0"/>
    </format>
  </formats>
  <chartFormats count="6">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0" format="2" series="1">
      <pivotArea type="data" outline="0" fieldPosition="0">
        <references count="2">
          <reference field="4294967294" count="1" selected="0">
            <x v="0"/>
          </reference>
          <reference field="0" count="1" selected="0">
            <x v="2"/>
          </reference>
        </references>
      </pivotArea>
    </chartFormat>
    <chartFormat chart="20" format="3" series="1">
      <pivotArea type="data" outline="0" fieldPosition="0">
        <references count="2">
          <reference field="4294967294" count="1" selected="0">
            <x v="0"/>
          </reference>
          <reference field="0" count="1" selected="0">
            <x v="3"/>
          </reference>
        </references>
      </pivotArea>
    </chartFormat>
    <chartFormat chart="20" format="4" series="1">
      <pivotArea type="data" outline="0" fieldPosition="0">
        <references count="2">
          <reference field="4294967294" count="1" selected="0">
            <x v="0"/>
          </reference>
          <reference field="0" count="1" selected="0">
            <x v="4"/>
          </reference>
        </references>
      </pivotArea>
    </chartFormat>
    <chartFormat chart="20" format="5"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4EEE9-376B-4F11-90FB-3108CFDF7F03}" name="Table1" displayName="Table1" ref="A1:M387" totalsRowShown="0" headerRowDxfId="14" dataDxfId="13">
  <autoFilter ref="A1:M387" xr:uid="{2934EEE9-376B-4F11-90FB-3108CFDF7F03}"/>
  <sortState xmlns:xlrd2="http://schemas.microsoft.com/office/spreadsheetml/2017/richdata2" ref="A2:M387">
    <sortCondition ref="C1:C387"/>
  </sortState>
  <tableColumns count="13">
    <tableColumn id="1" xr3:uid="{69152124-EC88-4E3F-90A2-444307D41730}" name="Publication Year" dataDxfId="12"/>
    <tableColumn id="2" xr3:uid="{F1B2D6B1-2399-4B8D-AF6E-E0701D3BBFC0}" name="Publisher" dataDxfId="11"/>
    <tableColumn id="3" xr3:uid="{F2111194-B78E-4B4E-A403-519C9D6992B8}" name="Source Title" dataDxfId="10"/>
    <tableColumn id="4" xr3:uid="{5E252C13-6694-4024-A479-0560FC3B0FB0}" name="Authors" dataDxfId="9"/>
    <tableColumn id="5" xr3:uid="{F781EA70-0E89-42C8-A314-3F4DEEDF49C8}" name="Author Full Names" dataDxfId="8"/>
    <tableColumn id="7" xr3:uid="{CA2A4004-4D57-4C9B-BC34-666ADA1488B9}" name="Article Title" dataDxfId="7"/>
    <tableColumn id="8" xr3:uid="{1DAD3232-3478-4D5E-AEEF-85DE26B28CAA}" name="Abstract" dataDxfId="6"/>
    <tableColumn id="9" xr3:uid="{D6255C73-EAF7-42DC-A8B1-974A2ECE4A1C}" name="ISSN" dataDxfId="5"/>
    <tableColumn id="10" xr3:uid="{9FCEEB69-E96B-42DB-9C9B-75DF9E7C480D}" name="Publication Date" dataDxfId="4"/>
    <tableColumn id="11" xr3:uid="{B1F2BD6F-B0FD-48E4-A4C0-1DEF97B13F69}" name="DOI" dataDxfId="3"/>
    <tableColumn id="12" xr3:uid="{DB4631AC-88E7-4F89-B712-73197BC13547}" name="Web of Science Record" dataDxfId="2">
      <calculatedColumnFormula>HYPERLINK("https%3A%2F%2Fwww.webofscience.com%2Fwos%2Fwoscc%2Ffull-record%2FWOS:000524291600008","View Full Record in Web of Science")</calculatedColumnFormula>
    </tableColumn>
    <tableColumn id="13" xr3:uid="{57C9318F-9BCA-49F7-967B-EC9AD19297A3}" name="temp" dataDxfId="1"/>
    <tableColumn id="14" xr3:uid="{C7098337-6117-4838-9063-F8676782D00B}" name="temp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workbookViewId="0">
      <selection activeCell="A2" sqref="A2"/>
    </sheetView>
  </sheetViews>
  <sheetFormatPr defaultRowHeight="14.4" x14ac:dyDescent="0.3"/>
  <cols>
    <col min="3" max="3" width="37.21875" bestFit="1" customWidth="1"/>
    <col min="11" max="12" width="14.6640625" bestFit="1" customWidth="1"/>
    <col min="14" max="14" width="11.5546875" bestFit="1" customWidth="1"/>
  </cols>
  <sheetData>
    <row r="1" spans="1:14" x14ac:dyDescent="0.3">
      <c r="A1" s="1" t="s">
        <v>1</v>
      </c>
      <c r="B1" s="1" t="s">
        <v>0</v>
      </c>
      <c r="C1" s="1" t="s">
        <v>2</v>
      </c>
      <c r="D1" s="1" t="s">
        <v>3</v>
      </c>
      <c r="E1" s="1" t="s">
        <v>4</v>
      </c>
      <c r="F1" s="1" t="s">
        <v>8</v>
      </c>
      <c r="G1" s="1" t="s">
        <v>5</v>
      </c>
      <c r="H1" s="1" t="s">
        <v>6</v>
      </c>
      <c r="I1" s="1" t="s">
        <v>7</v>
      </c>
      <c r="J1" s="1" t="s">
        <v>9</v>
      </c>
      <c r="K1" s="1" t="s">
        <v>10</v>
      </c>
      <c r="L1" s="1" t="s">
        <v>11</v>
      </c>
      <c r="M1" s="1" t="s">
        <v>12</v>
      </c>
      <c r="N1" s="1" t="s">
        <v>13</v>
      </c>
    </row>
    <row r="2" spans="1:14" x14ac:dyDescent="0.3">
      <c r="A2" s="1">
        <v>2021</v>
      </c>
      <c r="B2" s="1" t="s">
        <v>14</v>
      </c>
      <c r="C2" s="1" t="s">
        <v>26</v>
      </c>
      <c r="D2" s="1" t="s">
        <v>39</v>
      </c>
      <c r="E2" s="1" t="s">
        <v>40</v>
      </c>
      <c r="F2" s="1" t="s">
        <v>43</v>
      </c>
      <c r="G2" s="1" t="s">
        <v>27</v>
      </c>
      <c r="H2" s="1" t="s">
        <v>41</v>
      </c>
      <c r="I2" s="1" t="s">
        <v>42</v>
      </c>
      <c r="J2" s="1" t="s">
        <v>33</v>
      </c>
      <c r="K2" s="2">
        <v>45859.765486111108</v>
      </c>
      <c r="L2" s="2">
        <v>45859.765486111108</v>
      </c>
      <c r="M2" s="1" t="s">
        <v>15</v>
      </c>
      <c r="N2" s="1">
        <v>1</v>
      </c>
    </row>
    <row r="3" spans="1:14" x14ac:dyDescent="0.3">
      <c r="A3" s="1">
        <v>2025</v>
      </c>
      <c r="B3" s="1" t="s">
        <v>14</v>
      </c>
      <c r="C3" s="1" t="s">
        <v>309</v>
      </c>
      <c r="D3" s="1" t="s">
        <v>310</v>
      </c>
      <c r="E3" s="1" t="s">
        <v>311</v>
      </c>
      <c r="F3" s="1" t="s">
        <v>314</v>
      </c>
      <c r="G3" s="1"/>
      <c r="H3" s="1" t="s">
        <v>312</v>
      </c>
      <c r="I3" s="1" t="s">
        <v>313</v>
      </c>
      <c r="J3" s="1" t="s">
        <v>308</v>
      </c>
      <c r="K3" s="2">
        <v>45859.763506944444</v>
      </c>
      <c r="L3" s="2">
        <v>45859.763506944444</v>
      </c>
      <c r="M3" s="1" t="s">
        <v>15</v>
      </c>
      <c r="N3" s="1">
        <v>1</v>
      </c>
    </row>
    <row r="4" spans="1:14" x14ac:dyDescent="0.3">
      <c r="A4" s="1">
        <v>2024</v>
      </c>
      <c r="B4" s="1" t="s">
        <v>14</v>
      </c>
      <c r="C4" s="1" t="s">
        <v>150</v>
      </c>
      <c r="D4" s="1" t="s">
        <v>203</v>
      </c>
      <c r="E4" s="1" t="s">
        <v>204</v>
      </c>
      <c r="F4" s="1" t="s">
        <v>207</v>
      </c>
      <c r="G4" s="1" t="s">
        <v>151</v>
      </c>
      <c r="H4" s="1" t="s">
        <v>205</v>
      </c>
      <c r="I4" s="1" t="s">
        <v>206</v>
      </c>
      <c r="J4" s="1" t="s">
        <v>208</v>
      </c>
      <c r="K4" s="2">
        <v>45859.763495370367</v>
      </c>
      <c r="L4" s="2">
        <v>45859.763495370367</v>
      </c>
      <c r="M4" s="1" t="s">
        <v>15</v>
      </c>
      <c r="N4" s="1">
        <v>1</v>
      </c>
    </row>
    <row r="5" spans="1:14" x14ac:dyDescent="0.3">
      <c r="A5" s="1">
        <v>2025</v>
      </c>
      <c r="B5" s="1" t="s">
        <v>14</v>
      </c>
      <c r="C5" s="1" t="s">
        <v>150</v>
      </c>
      <c r="D5" s="1" t="s">
        <v>277</v>
      </c>
      <c r="E5" s="1" t="s">
        <v>278</v>
      </c>
      <c r="F5" s="1" t="s">
        <v>281</v>
      </c>
      <c r="G5" s="1" t="s">
        <v>151</v>
      </c>
      <c r="H5" s="1" t="s">
        <v>279</v>
      </c>
      <c r="I5" s="1" t="s">
        <v>280</v>
      </c>
      <c r="J5" s="1" t="s">
        <v>276</v>
      </c>
      <c r="K5" s="2">
        <v>45859.763495370367</v>
      </c>
      <c r="L5" s="2">
        <v>45859.763495370367</v>
      </c>
      <c r="M5" s="1" t="s">
        <v>15</v>
      </c>
      <c r="N5" s="1">
        <v>1</v>
      </c>
    </row>
    <row r="6" spans="1:14" x14ac:dyDescent="0.3">
      <c r="A6" s="1">
        <v>2025</v>
      </c>
      <c r="B6" s="1" t="s">
        <v>14</v>
      </c>
      <c r="C6" s="1" t="s">
        <v>150</v>
      </c>
      <c r="D6" s="1" t="s">
        <v>292</v>
      </c>
      <c r="E6" s="1" t="s">
        <v>293</v>
      </c>
      <c r="F6" s="1" t="s">
        <v>296</v>
      </c>
      <c r="G6" s="1" t="s">
        <v>151</v>
      </c>
      <c r="H6" s="1" t="s">
        <v>294</v>
      </c>
      <c r="I6" s="1" t="s">
        <v>295</v>
      </c>
      <c r="J6" s="1" t="s">
        <v>270</v>
      </c>
      <c r="K6" s="2">
        <v>45859.763495370367</v>
      </c>
      <c r="L6" s="2">
        <v>45859.763495370367</v>
      </c>
      <c r="M6" s="1" t="s">
        <v>15</v>
      </c>
      <c r="N6" s="1">
        <v>1</v>
      </c>
    </row>
    <row r="7" spans="1:14" x14ac:dyDescent="0.3">
      <c r="A7" s="1">
        <v>2025</v>
      </c>
      <c r="B7" s="1" t="s">
        <v>14</v>
      </c>
      <c r="C7" s="1" t="s">
        <v>150</v>
      </c>
      <c r="D7" s="1" t="s">
        <v>321</v>
      </c>
      <c r="E7" s="1" t="s">
        <v>322</v>
      </c>
      <c r="F7" s="1" t="s">
        <v>325</v>
      </c>
      <c r="G7" s="1" t="s">
        <v>151</v>
      </c>
      <c r="H7" s="1" t="s">
        <v>323</v>
      </c>
      <c r="I7" s="1" t="s">
        <v>324</v>
      </c>
      <c r="J7" s="1" t="s">
        <v>320</v>
      </c>
      <c r="K7" s="2">
        <v>45859.765081018515</v>
      </c>
      <c r="L7" s="2">
        <v>45859.765081018515</v>
      </c>
      <c r="M7" s="1" t="s">
        <v>15</v>
      </c>
      <c r="N7" s="1">
        <v>1</v>
      </c>
    </row>
    <row r="8" spans="1:14" x14ac:dyDescent="0.3">
      <c r="A8" s="1">
        <v>2024</v>
      </c>
      <c r="B8" s="1" t="s">
        <v>14</v>
      </c>
      <c r="C8" s="1" t="s">
        <v>34</v>
      </c>
      <c r="D8" s="1" t="s">
        <v>226</v>
      </c>
      <c r="E8" s="1" t="s">
        <v>227</v>
      </c>
      <c r="F8" s="1" t="s">
        <v>230</v>
      </c>
      <c r="G8" s="1" t="s">
        <v>35</v>
      </c>
      <c r="H8" s="1" t="s">
        <v>228</v>
      </c>
      <c r="I8" s="1" t="s">
        <v>229</v>
      </c>
      <c r="J8" s="1" t="s">
        <v>197</v>
      </c>
      <c r="K8" s="2">
        <v>45859.763506944444</v>
      </c>
      <c r="L8" s="2">
        <v>45859.763506944444</v>
      </c>
      <c r="M8" s="1" t="s">
        <v>15</v>
      </c>
      <c r="N8" s="1">
        <v>1</v>
      </c>
    </row>
    <row r="9" spans="1:14" x14ac:dyDescent="0.3">
      <c r="A9" s="1">
        <v>2025</v>
      </c>
      <c r="B9" s="1" t="s">
        <v>14</v>
      </c>
      <c r="C9" s="1" t="s">
        <v>34</v>
      </c>
      <c r="D9" s="1" t="s">
        <v>265</v>
      </c>
      <c r="E9" s="1" t="s">
        <v>266</v>
      </c>
      <c r="F9" s="1" t="s">
        <v>269</v>
      </c>
      <c r="G9" s="1" t="s">
        <v>35</v>
      </c>
      <c r="H9" s="1" t="s">
        <v>267</v>
      </c>
      <c r="I9" s="1" t="s">
        <v>268</v>
      </c>
      <c r="J9" s="1" t="s">
        <v>270</v>
      </c>
      <c r="K9" s="2">
        <v>45859.763495370367</v>
      </c>
      <c r="L9" s="2">
        <v>45859.763495370367</v>
      </c>
      <c r="M9" s="1" t="s">
        <v>15</v>
      </c>
      <c r="N9" s="1">
        <v>1</v>
      </c>
    </row>
    <row r="10" spans="1:14" x14ac:dyDescent="0.3">
      <c r="A10" s="1">
        <v>2024</v>
      </c>
      <c r="B10" s="1" t="s">
        <v>14</v>
      </c>
      <c r="C10" s="1" t="s">
        <v>116</v>
      </c>
      <c r="D10" s="1" t="s">
        <v>209</v>
      </c>
      <c r="E10" s="1" t="s">
        <v>210</v>
      </c>
      <c r="F10" s="1" t="s">
        <v>213</v>
      </c>
      <c r="G10" s="1" t="s">
        <v>117</v>
      </c>
      <c r="H10" s="1" t="s">
        <v>211</v>
      </c>
      <c r="I10" s="1" t="s">
        <v>212</v>
      </c>
      <c r="J10" s="1" t="s">
        <v>214</v>
      </c>
      <c r="K10" s="2">
        <v>45859.763495370367</v>
      </c>
      <c r="L10" s="2">
        <v>45859.763495370367</v>
      </c>
      <c r="M10" s="1" t="s">
        <v>15</v>
      </c>
      <c r="N10" s="1">
        <v>1</v>
      </c>
    </row>
    <row r="11" spans="1:14" x14ac:dyDescent="0.3">
      <c r="A11" s="1">
        <v>2025</v>
      </c>
      <c r="B11" s="1" t="s">
        <v>14</v>
      </c>
      <c r="C11" s="1" t="s">
        <v>116</v>
      </c>
      <c r="D11" s="1" t="s">
        <v>282</v>
      </c>
      <c r="E11" s="1" t="s">
        <v>283</v>
      </c>
      <c r="F11" s="1" t="s">
        <v>286</v>
      </c>
      <c r="G11" s="1" t="s">
        <v>117</v>
      </c>
      <c r="H11" s="1" t="s">
        <v>284</v>
      </c>
      <c r="I11" s="1" t="s">
        <v>285</v>
      </c>
      <c r="J11" s="1" t="s">
        <v>276</v>
      </c>
      <c r="K11" s="2">
        <v>45859.763495370367</v>
      </c>
      <c r="L11" s="2">
        <v>45859.763495370367</v>
      </c>
      <c r="M11" s="1" t="s">
        <v>15</v>
      </c>
      <c r="N11" s="1">
        <v>1</v>
      </c>
    </row>
    <row r="12" spans="1:14" x14ac:dyDescent="0.3">
      <c r="A12" s="1">
        <v>2025</v>
      </c>
      <c r="B12" s="1" t="s">
        <v>14</v>
      </c>
      <c r="C12" s="1" t="s">
        <v>116</v>
      </c>
      <c r="D12" s="1" t="s">
        <v>303</v>
      </c>
      <c r="E12" s="1" t="s">
        <v>304</v>
      </c>
      <c r="F12" s="1" t="s">
        <v>307</v>
      </c>
      <c r="G12" s="1" t="s">
        <v>117</v>
      </c>
      <c r="H12" s="1" t="s">
        <v>305</v>
      </c>
      <c r="I12" s="1" t="s">
        <v>306</v>
      </c>
      <c r="J12" s="1" t="s">
        <v>302</v>
      </c>
      <c r="K12" s="2">
        <v>45859.763495370367</v>
      </c>
      <c r="L12" s="2">
        <v>45859.763495370367</v>
      </c>
      <c r="M12" s="1" t="s">
        <v>15</v>
      </c>
      <c r="N12" s="1">
        <v>1</v>
      </c>
    </row>
    <row r="13" spans="1:14" x14ac:dyDescent="0.3">
      <c r="A13" s="1">
        <v>2022</v>
      </c>
      <c r="B13" s="1" t="s">
        <v>14</v>
      </c>
      <c r="C13" s="1" t="s">
        <v>78</v>
      </c>
      <c r="D13" s="1" t="s">
        <v>79</v>
      </c>
      <c r="E13" s="1" t="s">
        <v>80</v>
      </c>
      <c r="F13" s="1" t="s">
        <v>84</v>
      </c>
      <c r="G13" s="1" t="s">
        <v>81</v>
      </c>
      <c r="H13" s="1" t="s">
        <v>82</v>
      </c>
      <c r="I13" s="1" t="s">
        <v>83</v>
      </c>
      <c r="J13" s="1" t="s">
        <v>85</v>
      </c>
      <c r="K13" s="2">
        <v>45859.763506944444</v>
      </c>
      <c r="L13" s="2">
        <v>45859.763506944444</v>
      </c>
      <c r="M13" s="1" t="s">
        <v>15</v>
      </c>
      <c r="N13" s="1">
        <v>1</v>
      </c>
    </row>
    <row r="14" spans="1:14" x14ac:dyDescent="0.3">
      <c r="A14" s="1">
        <v>2022</v>
      </c>
      <c r="B14" s="1" t="s">
        <v>14</v>
      </c>
      <c r="C14" s="1" t="s">
        <v>96</v>
      </c>
      <c r="D14" s="1" t="s">
        <v>97</v>
      </c>
      <c r="E14" s="1" t="s">
        <v>98</v>
      </c>
      <c r="F14" s="1" t="s">
        <v>102</v>
      </c>
      <c r="G14" s="1" t="s">
        <v>99</v>
      </c>
      <c r="H14" s="1" t="s">
        <v>100</v>
      </c>
      <c r="I14" s="1" t="s">
        <v>101</v>
      </c>
      <c r="J14" s="1" t="s">
        <v>103</v>
      </c>
      <c r="K14" s="2">
        <v>45859.765081018515</v>
      </c>
      <c r="L14" s="2">
        <v>45859.765081018515</v>
      </c>
      <c r="M14" s="1" t="s">
        <v>15</v>
      </c>
      <c r="N14" s="1">
        <v>1</v>
      </c>
    </row>
    <row r="15" spans="1:14" x14ac:dyDescent="0.3">
      <c r="A15" s="1">
        <v>2022</v>
      </c>
      <c r="B15" s="1" t="s">
        <v>14</v>
      </c>
      <c r="C15" s="1" t="s">
        <v>46</v>
      </c>
      <c r="D15" s="1" t="s">
        <v>47</v>
      </c>
      <c r="E15" s="1" t="s">
        <v>48</v>
      </c>
      <c r="F15" s="1" t="s">
        <v>52</v>
      </c>
      <c r="G15" s="1" t="s">
        <v>49</v>
      </c>
      <c r="H15" s="1" t="s">
        <v>50</v>
      </c>
      <c r="I15" s="1" t="s">
        <v>51</v>
      </c>
      <c r="J15" s="1" t="s">
        <v>53</v>
      </c>
      <c r="K15" s="2">
        <v>45859.763495370367</v>
      </c>
      <c r="L15" s="2">
        <v>45859.763495370367</v>
      </c>
      <c r="M15" s="1" t="s">
        <v>15</v>
      </c>
      <c r="N15" s="1">
        <v>1</v>
      </c>
    </row>
    <row r="16" spans="1:14" x14ac:dyDescent="0.3">
      <c r="A16" s="1">
        <v>2023</v>
      </c>
      <c r="B16" s="1" t="s">
        <v>14</v>
      </c>
      <c r="C16" s="1" t="s">
        <v>46</v>
      </c>
      <c r="D16" s="1" t="s">
        <v>119</v>
      </c>
      <c r="E16" s="1" t="s">
        <v>120</v>
      </c>
      <c r="F16" s="1" t="s">
        <v>123</v>
      </c>
      <c r="G16" s="1" t="s">
        <v>49</v>
      </c>
      <c r="H16" s="1" t="s">
        <v>121</v>
      </c>
      <c r="I16" s="1" t="s">
        <v>122</v>
      </c>
      <c r="J16" s="1" t="s">
        <v>124</v>
      </c>
      <c r="K16" s="2">
        <v>45859.763495370367</v>
      </c>
      <c r="L16" s="2">
        <v>45859.763495370367</v>
      </c>
      <c r="M16" s="1" t="s">
        <v>15</v>
      </c>
      <c r="N16" s="1">
        <v>1</v>
      </c>
    </row>
    <row r="17" spans="1:14" x14ac:dyDescent="0.3">
      <c r="A17" s="1">
        <v>2023</v>
      </c>
      <c r="B17" s="1" t="s">
        <v>14</v>
      </c>
      <c r="C17" s="1" t="s">
        <v>46</v>
      </c>
      <c r="D17" s="1" t="s">
        <v>175</v>
      </c>
      <c r="E17" s="1" t="s">
        <v>176</v>
      </c>
      <c r="F17" s="1" t="s">
        <v>179</v>
      </c>
      <c r="G17" s="1" t="s">
        <v>49</v>
      </c>
      <c r="H17" s="1" t="s">
        <v>177</v>
      </c>
      <c r="I17" s="1" t="s">
        <v>178</v>
      </c>
      <c r="J17" s="1" t="s">
        <v>169</v>
      </c>
      <c r="K17" s="2">
        <v>45859.765486111108</v>
      </c>
      <c r="L17" s="2">
        <v>45859.765486111108</v>
      </c>
      <c r="M17" s="1" t="s">
        <v>15</v>
      </c>
      <c r="N17" s="1">
        <v>1</v>
      </c>
    </row>
    <row r="18" spans="1:14" x14ac:dyDescent="0.3">
      <c r="A18" s="1">
        <v>2025</v>
      </c>
      <c r="B18" s="1" t="s">
        <v>14</v>
      </c>
      <c r="C18" s="1" t="s">
        <v>46</v>
      </c>
      <c r="D18" s="1" t="s">
        <v>259</v>
      </c>
      <c r="E18" s="1" t="s">
        <v>260</v>
      </c>
      <c r="F18" s="1" t="s">
        <v>263</v>
      </c>
      <c r="G18" s="1" t="s">
        <v>49</v>
      </c>
      <c r="H18" s="1" t="s">
        <v>261</v>
      </c>
      <c r="I18" s="1" t="s">
        <v>262</v>
      </c>
      <c r="J18" s="1" t="s">
        <v>264</v>
      </c>
      <c r="K18" s="2">
        <v>45859.763495370367</v>
      </c>
      <c r="L18" s="2">
        <v>45859.763495370367</v>
      </c>
      <c r="M18" s="1" t="s">
        <v>15</v>
      </c>
      <c r="N18" s="1">
        <v>1</v>
      </c>
    </row>
    <row r="19" spans="1:14" x14ac:dyDescent="0.3">
      <c r="A19" s="1">
        <v>2025</v>
      </c>
      <c r="B19" s="1" t="s">
        <v>14</v>
      </c>
      <c r="C19" s="1" t="s">
        <v>46</v>
      </c>
      <c r="D19" s="1" t="s">
        <v>271</v>
      </c>
      <c r="E19" s="1" t="s">
        <v>272</v>
      </c>
      <c r="F19" s="1" t="s">
        <v>275</v>
      </c>
      <c r="G19" s="1" t="s">
        <v>49</v>
      </c>
      <c r="H19" s="1" t="s">
        <v>273</v>
      </c>
      <c r="I19" s="1" t="s">
        <v>274</v>
      </c>
      <c r="J19" s="1" t="s">
        <v>276</v>
      </c>
      <c r="K19" s="2">
        <v>45859.763495370367</v>
      </c>
      <c r="L19" s="2">
        <v>45859.763495370367</v>
      </c>
      <c r="M19" s="1" t="s">
        <v>15</v>
      </c>
      <c r="N19" s="1">
        <v>1</v>
      </c>
    </row>
    <row r="20" spans="1:14" x14ac:dyDescent="0.3">
      <c r="A20" s="1">
        <v>2025</v>
      </c>
      <c r="B20" s="1" t="s">
        <v>14</v>
      </c>
      <c r="C20" s="1" t="s">
        <v>44</v>
      </c>
      <c r="D20" s="1" t="s">
        <v>326</v>
      </c>
      <c r="E20" s="1" t="s">
        <v>327</v>
      </c>
      <c r="F20" s="1" t="s">
        <v>330</v>
      </c>
      <c r="G20" s="1" t="s">
        <v>45</v>
      </c>
      <c r="H20" s="1" t="s">
        <v>328</v>
      </c>
      <c r="I20" s="1" t="s">
        <v>329</v>
      </c>
      <c r="J20" s="1" t="s">
        <v>302</v>
      </c>
      <c r="K20" s="2">
        <v>45859.765474537038</v>
      </c>
      <c r="L20" s="2">
        <v>45859.765474537038</v>
      </c>
      <c r="M20" s="1" t="s">
        <v>15</v>
      </c>
      <c r="N20" s="1">
        <v>1</v>
      </c>
    </row>
    <row r="21" spans="1:14" x14ac:dyDescent="0.3">
      <c r="A21" s="1">
        <v>2022</v>
      </c>
      <c r="B21" s="1" t="s">
        <v>14</v>
      </c>
      <c r="C21" s="1" t="s">
        <v>36</v>
      </c>
      <c r="D21" s="1" t="s">
        <v>54</v>
      </c>
      <c r="E21" s="1" t="s">
        <v>55</v>
      </c>
      <c r="F21" s="1" t="s">
        <v>58</v>
      </c>
      <c r="G21" s="1" t="s">
        <v>37</v>
      </c>
      <c r="H21" s="1" t="s">
        <v>56</v>
      </c>
      <c r="I21" s="1" t="s">
        <v>57</v>
      </c>
      <c r="J21" s="1" t="s">
        <v>59</v>
      </c>
      <c r="K21" s="2">
        <v>45859.763506944444</v>
      </c>
      <c r="L21" s="2">
        <v>45859.763506944444</v>
      </c>
      <c r="M21" s="1" t="s">
        <v>38</v>
      </c>
      <c r="N21" s="1">
        <v>1</v>
      </c>
    </row>
    <row r="22" spans="1:14" x14ac:dyDescent="0.3">
      <c r="A22" s="1">
        <v>2022</v>
      </c>
      <c r="B22" s="1" t="s">
        <v>14</v>
      </c>
      <c r="C22" s="1" t="s">
        <v>36</v>
      </c>
      <c r="D22" s="1" t="s">
        <v>60</v>
      </c>
      <c r="E22" s="1" t="s">
        <v>61</v>
      </c>
      <c r="F22" s="1" t="s">
        <v>64</v>
      </c>
      <c r="G22" s="1" t="s">
        <v>37</v>
      </c>
      <c r="H22" s="1" t="s">
        <v>62</v>
      </c>
      <c r="I22" s="1" t="s">
        <v>63</v>
      </c>
      <c r="J22" s="1" t="s">
        <v>65</v>
      </c>
      <c r="K22" s="2">
        <v>45859.763506944444</v>
      </c>
      <c r="L22" s="2">
        <v>45859.763506944444</v>
      </c>
      <c r="M22" s="1" t="s">
        <v>38</v>
      </c>
      <c r="N22" s="1">
        <v>1</v>
      </c>
    </row>
    <row r="23" spans="1:14" x14ac:dyDescent="0.3">
      <c r="A23" s="1">
        <v>2024</v>
      </c>
      <c r="B23" s="1" t="s">
        <v>14</v>
      </c>
      <c r="C23" s="1" t="s">
        <v>36</v>
      </c>
      <c r="D23" s="1" t="s">
        <v>180</v>
      </c>
      <c r="E23" s="1" t="s">
        <v>181</v>
      </c>
      <c r="F23" s="1" t="s">
        <v>184</v>
      </c>
      <c r="G23" s="1" t="s">
        <v>37</v>
      </c>
      <c r="H23" s="1" t="s">
        <v>182</v>
      </c>
      <c r="I23" s="1" t="s">
        <v>183</v>
      </c>
      <c r="J23" s="1" t="s">
        <v>185</v>
      </c>
      <c r="K23" s="2">
        <v>45859.763495370367</v>
      </c>
      <c r="L23" s="2">
        <v>45859.763495370367</v>
      </c>
      <c r="M23" s="1" t="s">
        <v>38</v>
      </c>
      <c r="N23" s="1">
        <v>1</v>
      </c>
    </row>
    <row r="24" spans="1:14" x14ac:dyDescent="0.3">
      <c r="A24" s="1">
        <v>2024</v>
      </c>
      <c r="B24" s="1" t="s">
        <v>14</v>
      </c>
      <c r="C24" s="1" t="s">
        <v>36</v>
      </c>
      <c r="D24" s="1" t="s">
        <v>192</v>
      </c>
      <c r="E24" s="1" t="s">
        <v>193</v>
      </c>
      <c r="F24" s="1" t="s">
        <v>196</v>
      </c>
      <c r="G24" s="1" t="s">
        <v>37</v>
      </c>
      <c r="H24" s="1" t="s">
        <v>194</v>
      </c>
      <c r="I24" s="1" t="s">
        <v>195</v>
      </c>
      <c r="J24" s="1" t="s">
        <v>197</v>
      </c>
      <c r="K24" s="2">
        <v>45859.763495370367</v>
      </c>
      <c r="L24" s="2">
        <v>45859.763495370367</v>
      </c>
      <c r="M24" s="1" t="s">
        <v>38</v>
      </c>
      <c r="N24" s="1">
        <v>1</v>
      </c>
    </row>
    <row r="25" spans="1:14" x14ac:dyDescent="0.3">
      <c r="A25" s="1">
        <v>2024</v>
      </c>
      <c r="B25" s="1" t="s">
        <v>14</v>
      </c>
      <c r="C25" s="1" t="s">
        <v>36</v>
      </c>
      <c r="D25" s="1" t="s">
        <v>243</v>
      </c>
      <c r="E25" s="1" t="s">
        <v>244</v>
      </c>
      <c r="F25" s="1" t="s">
        <v>247</v>
      </c>
      <c r="G25" s="1" t="s">
        <v>37</v>
      </c>
      <c r="H25" s="1" t="s">
        <v>245</v>
      </c>
      <c r="I25" s="1" t="s">
        <v>246</v>
      </c>
      <c r="J25" s="1" t="s">
        <v>197</v>
      </c>
      <c r="K25" s="2">
        <v>45859.765081018515</v>
      </c>
      <c r="L25" s="2">
        <v>45859.765081018515</v>
      </c>
      <c r="M25" s="1" t="s">
        <v>38</v>
      </c>
      <c r="N25" s="1">
        <v>1</v>
      </c>
    </row>
    <row r="26" spans="1:14" x14ac:dyDescent="0.3">
      <c r="A26" s="1">
        <v>2023</v>
      </c>
      <c r="B26" s="1" t="s">
        <v>14</v>
      </c>
      <c r="C26" s="1" t="s">
        <v>131</v>
      </c>
      <c r="D26" s="1" t="s">
        <v>132</v>
      </c>
      <c r="E26" s="1" t="s">
        <v>133</v>
      </c>
      <c r="F26" s="1" t="s">
        <v>136</v>
      </c>
      <c r="G26" s="1"/>
      <c r="H26" s="1" t="s">
        <v>134</v>
      </c>
      <c r="I26" s="1" t="s">
        <v>135</v>
      </c>
      <c r="J26" s="1" t="s">
        <v>137</v>
      </c>
      <c r="K26" s="2">
        <v>45859.763506944444</v>
      </c>
      <c r="L26" s="2">
        <v>45859.763506944444</v>
      </c>
      <c r="M26" s="1" t="s">
        <v>15</v>
      </c>
      <c r="N26" s="1">
        <v>1</v>
      </c>
    </row>
    <row r="27" spans="1:14" x14ac:dyDescent="0.3">
      <c r="A27" s="1">
        <v>2023</v>
      </c>
      <c r="B27" s="1" t="s">
        <v>14</v>
      </c>
      <c r="C27" s="1" t="s">
        <v>131</v>
      </c>
      <c r="D27" s="1" t="s">
        <v>144</v>
      </c>
      <c r="E27" s="1" t="s">
        <v>145</v>
      </c>
      <c r="F27" s="1" t="s">
        <v>148</v>
      </c>
      <c r="G27" s="1"/>
      <c r="H27" s="1" t="s">
        <v>146</v>
      </c>
      <c r="I27" s="1" t="s">
        <v>147</v>
      </c>
      <c r="J27" s="1" t="s">
        <v>149</v>
      </c>
      <c r="K27" s="2">
        <v>45859.763506944444</v>
      </c>
      <c r="L27" s="2">
        <v>45859.763506944444</v>
      </c>
      <c r="M27" s="1" t="s">
        <v>15</v>
      </c>
      <c r="N27" s="1">
        <v>1</v>
      </c>
    </row>
    <row r="28" spans="1:14" x14ac:dyDescent="0.3">
      <c r="A28" s="1">
        <v>2024</v>
      </c>
      <c r="B28" s="1" t="s">
        <v>14</v>
      </c>
      <c r="C28" s="1" t="s">
        <v>131</v>
      </c>
      <c r="D28" s="1" t="s">
        <v>186</v>
      </c>
      <c r="E28" s="1" t="s">
        <v>187</v>
      </c>
      <c r="F28" s="1" t="s">
        <v>190</v>
      </c>
      <c r="G28" s="1"/>
      <c r="H28" s="1" t="s">
        <v>188</v>
      </c>
      <c r="I28" s="1" t="s">
        <v>189</v>
      </c>
      <c r="J28" s="1" t="s">
        <v>191</v>
      </c>
      <c r="K28" s="2">
        <v>45859.763495370367</v>
      </c>
      <c r="L28" s="2">
        <v>45859.763495370367</v>
      </c>
      <c r="M28" s="1" t="s">
        <v>15</v>
      </c>
      <c r="N28" s="1">
        <v>1</v>
      </c>
    </row>
    <row r="29" spans="1:14" x14ac:dyDescent="0.3">
      <c r="A29" s="1">
        <v>2022</v>
      </c>
      <c r="B29" s="1" t="s">
        <v>14</v>
      </c>
      <c r="C29" s="1" t="s">
        <v>16</v>
      </c>
      <c r="D29" s="1" t="s">
        <v>71</v>
      </c>
      <c r="E29" s="1" t="s">
        <v>72</v>
      </c>
      <c r="F29" s="1" t="s">
        <v>75</v>
      </c>
      <c r="G29" s="1"/>
      <c r="H29" s="1" t="s">
        <v>73</v>
      </c>
      <c r="I29" s="1" t="s">
        <v>74</v>
      </c>
      <c r="J29" s="1" t="s">
        <v>76</v>
      </c>
      <c r="K29" s="2">
        <v>45859.763506944444</v>
      </c>
      <c r="L29" s="2">
        <v>45859.763506944444</v>
      </c>
      <c r="M29" s="1" t="s">
        <v>15</v>
      </c>
      <c r="N29" s="1">
        <v>1</v>
      </c>
    </row>
    <row r="30" spans="1:14" x14ac:dyDescent="0.3">
      <c r="A30" s="1">
        <v>2022</v>
      </c>
      <c r="B30" s="1" t="s">
        <v>14</v>
      </c>
      <c r="C30" s="1" t="s">
        <v>16</v>
      </c>
      <c r="D30" s="1" t="s">
        <v>86</v>
      </c>
      <c r="E30" s="1" t="s">
        <v>87</v>
      </c>
      <c r="F30" s="1" t="s">
        <v>90</v>
      </c>
      <c r="G30" s="1"/>
      <c r="H30" s="1" t="s">
        <v>88</v>
      </c>
      <c r="I30" s="1" t="s">
        <v>89</v>
      </c>
      <c r="J30" s="1" t="s">
        <v>65</v>
      </c>
      <c r="K30" s="2">
        <v>45859.765069444446</v>
      </c>
      <c r="L30" s="2">
        <v>45859.765069444446</v>
      </c>
      <c r="M30" s="1" t="s">
        <v>15</v>
      </c>
      <c r="N30" s="1">
        <v>1</v>
      </c>
    </row>
    <row r="31" spans="1:14" x14ac:dyDescent="0.3">
      <c r="A31" s="1">
        <v>2024</v>
      </c>
      <c r="B31" s="1" t="s">
        <v>14</v>
      </c>
      <c r="C31" s="1" t="s">
        <v>16</v>
      </c>
      <c r="D31" s="1" t="s">
        <v>198</v>
      </c>
      <c r="E31" s="1" t="s">
        <v>199</v>
      </c>
      <c r="F31" s="1" t="s">
        <v>202</v>
      </c>
      <c r="G31" s="1"/>
      <c r="H31" s="1" t="s">
        <v>200</v>
      </c>
      <c r="I31" s="1" t="s">
        <v>201</v>
      </c>
      <c r="J31" s="1" t="s">
        <v>197</v>
      </c>
      <c r="K31" s="2">
        <v>45859.763495370367</v>
      </c>
      <c r="L31" s="2">
        <v>45859.763495370367</v>
      </c>
      <c r="M31" s="1" t="s">
        <v>15</v>
      </c>
      <c r="N31" s="1">
        <v>1</v>
      </c>
    </row>
    <row r="32" spans="1:14" x14ac:dyDescent="0.3">
      <c r="A32" s="1">
        <v>2025</v>
      </c>
      <c r="B32" s="1" t="s">
        <v>14</v>
      </c>
      <c r="C32" s="1" t="s">
        <v>16</v>
      </c>
      <c r="D32" s="1" t="s">
        <v>287</v>
      </c>
      <c r="E32" s="1" t="s">
        <v>288</v>
      </c>
      <c r="F32" s="1" t="s">
        <v>291</v>
      </c>
      <c r="G32" s="1"/>
      <c r="H32" s="1" t="s">
        <v>289</v>
      </c>
      <c r="I32" s="1" t="s">
        <v>290</v>
      </c>
      <c r="J32" s="1" t="s">
        <v>276</v>
      </c>
      <c r="K32" s="2">
        <v>45859.763495370367</v>
      </c>
      <c r="L32" s="2">
        <v>45859.763495370367</v>
      </c>
      <c r="M32" s="1" t="s">
        <v>15</v>
      </c>
      <c r="N32" s="1">
        <v>1</v>
      </c>
    </row>
    <row r="33" spans="1:14" x14ac:dyDescent="0.3">
      <c r="A33" s="1">
        <v>2025</v>
      </c>
      <c r="B33" s="1" t="s">
        <v>14</v>
      </c>
      <c r="C33" s="1" t="s">
        <v>16</v>
      </c>
      <c r="D33" s="1" t="s">
        <v>297</v>
      </c>
      <c r="E33" s="1" t="s">
        <v>298</v>
      </c>
      <c r="F33" s="1" t="s">
        <v>301</v>
      </c>
      <c r="G33" s="1"/>
      <c r="H33" s="1" t="s">
        <v>299</v>
      </c>
      <c r="I33" s="1" t="s">
        <v>300</v>
      </c>
      <c r="J33" s="1" t="s">
        <v>302</v>
      </c>
      <c r="K33" s="2">
        <v>45859.763495370367</v>
      </c>
      <c r="L33" s="2">
        <v>45859.763495370367</v>
      </c>
      <c r="M33" s="1" t="s">
        <v>15</v>
      </c>
      <c r="N33" s="1">
        <v>1</v>
      </c>
    </row>
    <row r="34" spans="1:14" x14ac:dyDescent="0.3">
      <c r="A34" s="1">
        <v>2023</v>
      </c>
      <c r="B34" s="1" t="s">
        <v>14</v>
      </c>
      <c r="C34" s="1" t="s">
        <v>118</v>
      </c>
      <c r="D34" s="1" t="s">
        <v>138</v>
      </c>
      <c r="E34" s="1" t="s">
        <v>139</v>
      </c>
      <c r="F34" s="1" t="s">
        <v>142</v>
      </c>
      <c r="G34" s="1"/>
      <c r="H34" s="1" t="s">
        <v>140</v>
      </c>
      <c r="I34" s="1" t="s">
        <v>141</v>
      </c>
      <c r="J34" s="1" t="s">
        <v>143</v>
      </c>
      <c r="K34" s="2">
        <v>45859.763506944444</v>
      </c>
      <c r="L34" s="2">
        <v>45859.763506944444</v>
      </c>
      <c r="M34" s="1" t="s">
        <v>15</v>
      </c>
      <c r="N34" s="1">
        <v>1</v>
      </c>
    </row>
    <row r="35" spans="1:14" x14ac:dyDescent="0.3">
      <c r="A35" s="1">
        <v>2025</v>
      </c>
      <c r="B35" s="1" t="s">
        <v>14</v>
      </c>
      <c r="C35" s="1" t="s">
        <v>118</v>
      </c>
      <c r="D35" s="1" t="s">
        <v>315</v>
      </c>
      <c r="E35" s="1" t="s">
        <v>316</v>
      </c>
      <c r="F35" s="1" t="s">
        <v>319</v>
      </c>
      <c r="G35" s="1"/>
      <c r="H35" s="1" t="s">
        <v>317</v>
      </c>
      <c r="I35" s="1" t="s">
        <v>318</v>
      </c>
      <c r="J35" s="1" t="s">
        <v>276</v>
      </c>
      <c r="K35" s="2">
        <v>45859.765081018515</v>
      </c>
      <c r="L35" s="2">
        <v>45859.765081018515</v>
      </c>
      <c r="M35" s="1" t="s">
        <v>15</v>
      </c>
      <c r="N35" s="1">
        <v>1</v>
      </c>
    </row>
    <row r="36" spans="1:14" x14ac:dyDescent="0.3">
      <c r="A36" s="1">
        <v>2020</v>
      </c>
      <c r="B36" s="1" t="s">
        <v>14</v>
      </c>
      <c r="C36" s="1" t="s">
        <v>17</v>
      </c>
      <c r="D36" s="1" t="s">
        <v>18</v>
      </c>
      <c r="E36" s="1" t="s">
        <v>19</v>
      </c>
      <c r="F36" s="1" t="s">
        <v>23</v>
      </c>
      <c r="G36" s="1" t="s">
        <v>20</v>
      </c>
      <c r="H36" s="1" t="s">
        <v>21</v>
      </c>
      <c r="I36" s="1" t="s">
        <v>22</v>
      </c>
      <c r="J36" s="1" t="s">
        <v>24</v>
      </c>
      <c r="K36" s="2">
        <v>45859.766099537039</v>
      </c>
      <c r="L36" s="2">
        <v>45859.766099537039</v>
      </c>
      <c r="M36" s="1" t="s">
        <v>25</v>
      </c>
      <c r="N36" s="1">
        <v>1</v>
      </c>
    </row>
    <row r="37" spans="1:14" x14ac:dyDescent="0.3">
      <c r="A37" s="1">
        <v>2021</v>
      </c>
      <c r="B37" s="1" t="s">
        <v>14</v>
      </c>
      <c r="C37" s="1" t="s">
        <v>17</v>
      </c>
      <c r="D37" s="1" t="s">
        <v>28</v>
      </c>
      <c r="E37" s="1" t="s">
        <v>29</v>
      </c>
      <c r="F37" s="1" t="s">
        <v>32</v>
      </c>
      <c r="G37" s="1" t="s">
        <v>20</v>
      </c>
      <c r="H37" s="1" t="s">
        <v>30</v>
      </c>
      <c r="I37" s="1" t="s">
        <v>31</v>
      </c>
      <c r="J37" s="1" t="s">
        <v>33</v>
      </c>
      <c r="K37" s="2">
        <v>45859.765081018515</v>
      </c>
      <c r="L37" s="2">
        <v>45859.765081018515</v>
      </c>
      <c r="M37" s="1" t="s">
        <v>25</v>
      </c>
      <c r="N37" s="1">
        <v>1</v>
      </c>
    </row>
    <row r="38" spans="1:14" x14ac:dyDescent="0.3">
      <c r="A38" s="1">
        <v>2022</v>
      </c>
      <c r="B38" s="1" t="s">
        <v>14</v>
      </c>
      <c r="C38" s="1" t="s">
        <v>17</v>
      </c>
      <c r="D38" s="1" t="s">
        <v>66</v>
      </c>
      <c r="E38" s="1" t="s">
        <v>67</v>
      </c>
      <c r="F38" s="1" t="s">
        <v>70</v>
      </c>
      <c r="G38" s="1" t="s">
        <v>20</v>
      </c>
      <c r="H38" s="1" t="s">
        <v>68</v>
      </c>
      <c r="I38" s="1" t="s">
        <v>69</v>
      </c>
      <c r="J38" s="1" t="s">
        <v>65</v>
      </c>
      <c r="K38" s="2">
        <v>45859.763506944444</v>
      </c>
      <c r="L38" s="2">
        <v>45859.763506944444</v>
      </c>
      <c r="M38" s="1" t="s">
        <v>25</v>
      </c>
      <c r="N38" s="1">
        <v>1</v>
      </c>
    </row>
    <row r="39" spans="1:14" x14ac:dyDescent="0.3">
      <c r="A39" s="1">
        <v>2022</v>
      </c>
      <c r="B39" s="1" t="s">
        <v>14</v>
      </c>
      <c r="C39" s="1" t="s">
        <v>17</v>
      </c>
      <c r="D39" s="1" t="s">
        <v>91</v>
      </c>
      <c r="E39" s="1" t="s">
        <v>92</v>
      </c>
      <c r="F39" s="1" t="s">
        <v>95</v>
      </c>
      <c r="G39" s="1" t="s">
        <v>20</v>
      </c>
      <c r="H39" s="1" t="s">
        <v>93</v>
      </c>
      <c r="I39" s="1" t="s">
        <v>94</v>
      </c>
      <c r="J39" s="1" t="s">
        <v>59</v>
      </c>
      <c r="K39" s="2">
        <v>45859.765081018515</v>
      </c>
      <c r="L39" s="2">
        <v>45859.765081018515</v>
      </c>
      <c r="M39" s="1" t="s">
        <v>25</v>
      </c>
      <c r="N39" s="1">
        <v>1</v>
      </c>
    </row>
    <row r="40" spans="1:14" x14ac:dyDescent="0.3">
      <c r="A40" s="1">
        <v>2022</v>
      </c>
      <c r="B40" s="1" t="s">
        <v>14</v>
      </c>
      <c r="C40" s="1" t="s">
        <v>17</v>
      </c>
      <c r="D40" s="1" t="s">
        <v>104</v>
      </c>
      <c r="E40" s="1" t="s">
        <v>105</v>
      </c>
      <c r="F40" s="1" t="s">
        <v>108</v>
      </c>
      <c r="G40" s="1" t="s">
        <v>20</v>
      </c>
      <c r="H40" s="1" t="s">
        <v>106</v>
      </c>
      <c r="I40" s="1" t="s">
        <v>107</v>
      </c>
      <c r="J40" s="1" t="s">
        <v>109</v>
      </c>
      <c r="K40" s="2">
        <v>45859.765081018515</v>
      </c>
      <c r="L40" s="2">
        <v>45859.765081018515</v>
      </c>
      <c r="M40" s="1" t="s">
        <v>25</v>
      </c>
      <c r="N40" s="1">
        <v>1</v>
      </c>
    </row>
    <row r="41" spans="1:14" x14ac:dyDescent="0.3">
      <c r="A41" s="1">
        <v>2022</v>
      </c>
      <c r="B41" s="1" t="s">
        <v>14</v>
      </c>
      <c r="C41" s="1" t="s">
        <v>17</v>
      </c>
      <c r="D41" s="1" t="s">
        <v>110</v>
      </c>
      <c r="E41" s="1" t="s">
        <v>111</v>
      </c>
      <c r="F41" s="1" t="s">
        <v>114</v>
      </c>
      <c r="G41" s="1" t="s">
        <v>20</v>
      </c>
      <c r="H41" s="1" t="s">
        <v>112</v>
      </c>
      <c r="I41" s="1" t="s">
        <v>113</v>
      </c>
      <c r="J41" s="1" t="s">
        <v>115</v>
      </c>
      <c r="K41" s="2">
        <v>45859.765081018515</v>
      </c>
      <c r="L41" s="2">
        <v>45859.765081018515</v>
      </c>
      <c r="M41" s="1" t="s">
        <v>25</v>
      </c>
      <c r="N41" s="1">
        <v>1</v>
      </c>
    </row>
    <row r="42" spans="1:14" x14ac:dyDescent="0.3">
      <c r="A42" s="1">
        <v>2023</v>
      </c>
      <c r="B42" s="1" t="s">
        <v>14</v>
      </c>
      <c r="C42" s="1" t="s">
        <v>17</v>
      </c>
      <c r="D42" s="1" t="s">
        <v>125</v>
      </c>
      <c r="E42" s="1" t="s">
        <v>126</v>
      </c>
      <c r="F42" s="1" t="s">
        <v>129</v>
      </c>
      <c r="G42" s="1" t="s">
        <v>20</v>
      </c>
      <c r="H42" s="1" t="s">
        <v>127</v>
      </c>
      <c r="I42" s="1" t="s">
        <v>128</v>
      </c>
      <c r="J42" s="1" t="s">
        <v>130</v>
      </c>
      <c r="K42" s="2">
        <v>45859.763495370367</v>
      </c>
      <c r="L42" s="2">
        <v>45859.763495370367</v>
      </c>
      <c r="M42" s="1" t="s">
        <v>25</v>
      </c>
      <c r="N42" s="1">
        <v>1</v>
      </c>
    </row>
    <row r="43" spans="1:14" x14ac:dyDescent="0.3">
      <c r="A43" s="1">
        <v>2023</v>
      </c>
      <c r="B43" s="1" t="s">
        <v>14</v>
      </c>
      <c r="C43" s="1" t="s">
        <v>17</v>
      </c>
      <c r="D43" s="1" t="s">
        <v>152</v>
      </c>
      <c r="E43" s="1" t="s">
        <v>153</v>
      </c>
      <c r="F43" s="1" t="s">
        <v>156</v>
      </c>
      <c r="G43" s="1" t="s">
        <v>20</v>
      </c>
      <c r="H43" s="1" t="s">
        <v>154</v>
      </c>
      <c r="I43" s="1" t="s">
        <v>155</v>
      </c>
      <c r="J43" s="1" t="s">
        <v>157</v>
      </c>
      <c r="K43" s="2">
        <v>45859.763506944444</v>
      </c>
      <c r="L43" s="2">
        <v>45859.763506944444</v>
      </c>
      <c r="M43" s="1" t="s">
        <v>25</v>
      </c>
      <c r="N43" s="1">
        <v>1</v>
      </c>
    </row>
    <row r="44" spans="1:14" x14ac:dyDescent="0.3">
      <c r="A44" s="1">
        <v>2023</v>
      </c>
      <c r="B44" s="1" t="s">
        <v>14</v>
      </c>
      <c r="C44" s="1" t="s">
        <v>17</v>
      </c>
      <c r="D44" s="1" t="s">
        <v>158</v>
      </c>
      <c r="E44" s="1" t="s">
        <v>159</v>
      </c>
      <c r="F44" s="1" t="s">
        <v>162</v>
      </c>
      <c r="G44" s="1" t="s">
        <v>20</v>
      </c>
      <c r="H44" s="1" t="s">
        <v>160</v>
      </c>
      <c r="I44" s="1" t="s">
        <v>161</v>
      </c>
      <c r="J44" s="1" t="s">
        <v>157</v>
      </c>
      <c r="K44" s="2">
        <v>45859.765081018515</v>
      </c>
      <c r="L44" s="2">
        <v>45859.765081018515</v>
      </c>
      <c r="M44" s="1" t="s">
        <v>25</v>
      </c>
      <c r="N44" s="1">
        <v>1</v>
      </c>
    </row>
    <row r="45" spans="1:14" x14ac:dyDescent="0.3">
      <c r="A45" s="1">
        <v>2023</v>
      </c>
      <c r="B45" s="1" t="s">
        <v>14</v>
      </c>
      <c r="C45" s="1" t="s">
        <v>17</v>
      </c>
      <c r="D45" s="1" t="s">
        <v>164</v>
      </c>
      <c r="E45" s="1" t="s">
        <v>165</v>
      </c>
      <c r="F45" s="1" t="s">
        <v>168</v>
      </c>
      <c r="G45" s="1" t="s">
        <v>20</v>
      </c>
      <c r="H45" s="1" t="s">
        <v>166</v>
      </c>
      <c r="I45" s="1" t="s">
        <v>167</v>
      </c>
      <c r="J45" s="1" t="s">
        <v>169</v>
      </c>
      <c r="K45" s="2">
        <v>45859.765474537038</v>
      </c>
      <c r="L45" s="2">
        <v>45859.765474537038</v>
      </c>
      <c r="M45" s="1" t="s">
        <v>25</v>
      </c>
      <c r="N45" s="1">
        <v>1</v>
      </c>
    </row>
    <row r="46" spans="1:14" x14ac:dyDescent="0.3">
      <c r="A46" s="1">
        <v>2023</v>
      </c>
      <c r="B46" s="1" t="s">
        <v>14</v>
      </c>
      <c r="C46" s="1" t="s">
        <v>17</v>
      </c>
      <c r="D46" s="1" t="s">
        <v>170</v>
      </c>
      <c r="E46" s="1" t="s">
        <v>171</v>
      </c>
      <c r="F46" s="1" t="s">
        <v>174</v>
      </c>
      <c r="G46" s="1" t="s">
        <v>20</v>
      </c>
      <c r="H46" s="1" t="s">
        <v>172</v>
      </c>
      <c r="I46" s="1" t="s">
        <v>173</v>
      </c>
      <c r="J46" s="1" t="s">
        <v>157</v>
      </c>
      <c r="K46" s="2">
        <v>45859.765486111108</v>
      </c>
      <c r="L46" s="2">
        <v>45859.765486111108</v>
      </c>
      <c r="M46" s="1" t="s">
        <v>25</v>
      </c>
      <c r="N46" s="1">
        <v>1</v>
      </c>
    </row>
    <row r="47" spans="1:14" x14ac:dyDescent="0.3">
      <c r="A47" s="1">
        <v>2024</v>
      </c>
      <c r="B47" s="1" t="s">
        <v>14</v>
      </c>
      <c r="C47" s="1" t="s">
        <v>17</v>
      </c>
      <c r="D47" s="1" t="s">
        <v>215</v>
      </c>
      <c r="E47" s="1" t="s">
        <v>216</v>
      </c>
      <c r="F47" s="1" t="s">
        <v>219</v>
      </c>
      <c r="G47" s="1" t="s">
        <v>20</v>
      </c>
      <c r="H47" s="1" t="s">
        <v>217</v>
      </c>
      <c r="I47" s="1" t="s">
        <v>218</v>
      </c>
      <c r="J47" s="1" t="s">
        <v>220</v>
      </c>
      <c r="K47" s="2">
        <v>45859.763495370367</v>
      </c>
      <c r="L47" s="2">
        <v>45859.763495370367</v>
      </c>
      <c r="M47" s="1" t="s">
        <v>25</v>
      </c>
      <c r="N47" s="1">
        <v>1</v>
      </c>
    </row>
    <row r="48" spans="1:14" x14ac:dyDescent="0.3">
      <c r="A48" s="1">
        <v>2024</v>
      </c>
      <c r="B48" s="1" t="s">
        <v>14</v>
      </c>
      <c r="C48" s="1" t="s">
        <v>17</v>
      </c>
      <c r="D48" s="1" t="s">
        <v>221</v>
      </c>
      <c r="E48" s="1" t="s">
        <v>222</v>
      </c>
      <c r="F48" s="1" t="s">
        <v>225</v>
      </c>
      <c r="G48" s="1" t="s">
        <v>20</v>
      </c>
      <c r="H48" s="1" t="s">
        <v>223</v>
      </c>
      <c r="I48" s="1" t="s">
        <v>224</v>
      </c>
      <c r="J48" s="1" t="s">
        <v>220</v>
      </c>
      <c r="K48" s="2">
        <v>45859.763495370367</v>
      </c>
      <c r="L48" s="2">
        <v>45859.763495370367</v>
      </c>
      <c r="M48" s="1" t="s">
        <v>25</v>
      </c>
      <c r="N48" s="1">
        <v>1</v>
      </c>
    </row>
    <row r="49" spans="1:14" x14ac:dyDescent="0.3">
      <c r="A49" s="1">
        <v>2024</v>
      </c>
      <c r="B49" s="1" t="s">
        <v>14</v>
      </c>
      <c r="C49" s="1" t="s">
        <v>17</v>
      </c>
      <c r="D49" s="1" t="s">
        <v>231</v>
      </c>
      <c r="E49" s="1" t="s">
        <v>232</v>
      </c>
      <c r="F49" s="1" t="s">
        <v>235</v>
      </c>
      <c r="G49" s="1" t="s">
        <v>20</v>
      </c>
      <c r="H49" s="1" t="s">
        <v>233</v>
      </c>
      <c r="I49" s="1" t="s">
        <v>234</v>
      </c>
      <c r="J49" s="1" t="s">
        <v>236</v>
      </c>
      <c r="K49" s="2">
        <v>45859.763506944444</v>
      </c>
      <c r="L49" s="2">
        <v>45859.763506944444</v>
      </c>
      <c r="M49" s="1" t="s">
        <v>25</v>
      </c>
      <c r="N49" s="1">
        <v>1</v>
      </c>
    </row>
    <row r="50" spans="1:14" x14ac:dyDescent="0.3">
      <c r="A50" s="1">
        <v>2024</v>
      </c>
      <c r="B50" s="1" t="s">
        <v>14</v>
      </c>
      <c r="C50" s="1" t="s">
        <v>17</v>
      </c>
      <c r="D50" s="1" t="s">
        <v>237</v>
      </c>
      <c r="E50" s="1" t="s">
        <v>238</v>
      </c>
      <c r="F50" s="1" t="s">
        <v>241</v>
      </c>
      <c r="G50" s="1" t="s">
        <v>20</v>
      </c>
      <c r="H50" s="1" t="s">
        <v>239</v>
      </c>
      <c r="I50" s="1" t="s">
        <v>240</v>
      </c>
      <c r="J50" s="1" t="s">
        <v>242</v>
      </c>
      <c r="K50" s="2">
        <v>45859.763506944444</v>
      </c>
      <c r="L50" s="2">
        <v>45859.763506944444</v>
      </c>
      <c r="M50" s="1" t="s">
        <v>25</v>
      </c>
      <c r="N50" s="1">
        <v>1</v>
      </c>
    </row>
    <row r="51" spans="1:14" x14ac:dyDescent="0.3">
      <c r="A51" s="1">
        <v>2024</v>
      </c>
      <c r="B51" s="1" t="s">
        <v>14</v>
      </c>
      <c r="C51" s="1" t="s">
        <v>17</v>
      </c>
      <c r="D51" s="1" t="s">
        <v>249</v>
      </c>
      <c r="E51" s="1" t="s">
        <v>250</v>
      </c>
      <c r="F51" s="1" t="s">
        <v>253</v>
      </c>
      <c r="G51" s="1" t="s">
        <v>20</v>
      </c>
      <c r="H51" s="1" t="s">
        <v>251</v>
      </c>
      <c r="I51" s="1" t="s">
        <v>252</v>
      </c>
      <c r="J51" s="1" t="s">
        <v>236</v>
      </c>
      <c r="K51" s="2">
        <v>45859.765474537038</v>
      </c>
      <c r="L51" s="2">
        <v>45859.765474537038</v>
      </c>
      <c r="M51" s="1" t="s">
        <v>25</v>
      </c>
      <c r="N51" s="1">
        <v>1</v>
      </c>
    </row>
    <row r="52" spans="1:14" x14ac:dyDescent="0.3">
      <c r="A52" s="1">
        <v>2024</v>
      </c>
      <c r="B52" s="1" t="s">
        <v>14</v>
      </c>
      <c r="C52" s="1" t="s">
        <v>17</v>
      </c>
      <c r="D52" s="1" t="s">
        <v>254</v>
      </c>
      <c r="E52" s="1" t="s">
        <v>255</v>
      </c>
      <c r="F52" s="1" t="s">
        <v>258</v>
      </c>
      <c r="G52" s="1" t="s">
        <v>20</v>
      </c>
      <c r="H52" s="1" t="s">
        <v>256</v>
      </c>
      <c r="I52" s="1" t="s">
        <v>257</v>
      </c>
      <c r="J52" s="1" t="s">
        <v>242</v>
      </c>
      <c r="K52" s="2">
        <v>45859.765486111108</v>
      </c>
      <c r="L52" s="2">
        <v>45859.765486111108</v>
      </c>
      <c r="M52" s="1" t="s">
        <v>25</v>
      </c>
      <c r="N52" s="1">
        <v>1</v>
      </c>
    </row>
  </sheetData>
  <sortState xmlns:xlrd2="http://schemas.microsoft.com/office/spreadsheetml/2017/richdata2" ref="B2:N203">
    <sortCondition ref="C1:C20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6D555-76FF-44FF-A5A7-DCD507FE5F75}">
  <dimension ref="A1:N51"/>
  <sheetViews>
    <sheetView workbookViewId="0">
      <selection activeCell="A2" sqref="A2"/>
    </sheetView>
  </sheetViews>
  <sheetFormatPr defaultRowHeight="14.4" x14ac:dyDescent="0.3"/>
  <cols>
    <col min="2" max="2" width="14.21875" customWidth="1"/>
    <col min="3" max="3" width="20.44140625" customWidth="1"/>
    <col min="4" max="4" width="16" customWidth="1"/>
    <col min="9" max="9" width="25" customWidth="1"/>
  </cols>
  <sheetData>
    <row r="1" spans="1:14" x14ac:dyDescent="0.3">
      <c r="A1" t="s">
        <v>1</v>
      </c>
      <c r="B1" t="s">
        <v>331</v>
      </c>
      <c r="C1" t="s">
        <v>2</v>
      </c>
      <c r="D1" t="s">
        <v>332</v>
      </c>
      <c r="E1" t="s">
        <v>335</v>
      </c>
      <c r="F1" t="s">
        <v>333</v>
      </c>
      <c r="G1" t="s">
        <v>334</v>
      </c>
      <c r="H1" t="s">
        <v>5</v>
      </c>
      <c r="I1" t="s">
        <v>336</v>
      </c>
      <c r="J1" t="s">
        <v>337</v>
      </c>
      <c r="K1" t="s">
        <v>338</v>
      </c>
      <c r="L1" t="s">
        <v>339</v>
      </c>
      <c r="M1" t="s">
        <v>340</v>
      </c>
      <c r="N1" t="s">
        <v>341</v>
      </c>
    </row>
    <row r="2" spans="1:14" x14ac:dyDescent="0.3">
      <c r="A2">
        <v>2024</v>
      </c>
      <c r="B2" t="s">
        <v>342</v>
      </c>
      <c r="C2" t="s">
        <v>439</v>
      </c>
      <c r="D2" t="s">
        <v>440</v>
      </c>
      <c r="E2" t="s">
        <v>442</v>
      </c>
      <c r="F2" t="s">
        <v>441</v>
      </c>
      <c r="G2" s="3">
        <v>45604</v>
      </c>
      <c r="H2" t="s">
        <v>443</v>
      </c>
      <c r="I2" t="s">
        <v>445</v>
      </c>
      <c r="J2" t="s">
        <v>446</v>
      </c>
      <c r="K2" t="s">
        <v>447</v>
      </c>
      <c r="L2">
        <v>37</v>
      </c>
      <c r="M2" t="s">
        <v>448</v>
      </c>
      <c r="N2" s="3">
        <v>45600</v>
      </c>
    </row>
    <row r="3" spans="1:14" x14ac:dyDescent="0.3">
      <c r="A3">
        <v>2024</v>
      </c>
      <c r="B3" t="s">
        <v>342</v>
      </c>
      <c r="C3" t="s">
        <v>439</v>
      </c>
      <c r="D3" t="s">
        <v>491</v>
      </c>
      <c r="E3" t="s">
        <v>493</v>
      </c>
      <c r="F3" t="s">
        <v>492</v>
      </c>
      <c r="G3" s="3">
        <v>45566</v>
      </c>
      <c r="H3" t="s">
        <v>443</v>
      </c>
      <c r="J3" t="s">
        <v>495</v>
      </c>
      <c r="K3" t="s">
        <v>496</v>
      </c>
      <c r="L3">
        <v>15</v>
      </c>
      <c r="M3" t="s">
        <v>448</v>
      </c>
      <c r="N3" s="3">
        <v>45552</v>
      </c>
    </row>
    <row r="4" spans="1:14" x14ac:dyDescent="0.3">
      <c r="A4">
        <v>2025</v>
      </c>
      <c r="B4" t="s">
        <v>342</v>
      </c>
      <c r="C4" t="s">
        <v>439</v>
      </c>
      <c r="D4" t="s">
        <v>497</v>
      </c>
      <c r="E4" t="s">
        <v>499</v>
      </c>
      <c r="F4" t="s">
        <v>498</v>
      </c>
      <c r="G4" s="3">
        <v>45735</v>
      </c>
      <c r="H4" t="s">
        <v>443</v>
      </c>
      <c r="I4" t="s">
        <v>501</v>
      </c>
      <c r="J4" t="s">
        <v>502</v>
      </c>
      <c r="K4" t="s">
        <v>503</v>
      </c>
      <c r="L4">
        <v>41</v>
      </c>
      <c r="M4" t="s">
        <v>352</v>
      </c>
      <c r="N4" s="3">
        <v>45728</v>
      </c>
    </row>
    <row r="5" spans="1:14" x14ac:dyDescent="0.3">
      <c r="A5">
        <v>2025</v>
      </c>
      <c r="B5" t="s">
        <v>342</v>
      </c>
      <c r="C5" t="s">
        <v>439</v>
      </c>
      <c r="D5" t="s">
        <v>532</v>
      </c>
      <c r="E5" t="s">
        <v>534</v>
      </c>
      <c r="F5" t="s">
        <v>533</v>
      </c>
      <c r="G5" s="3">
        <v>45841</v>
      </c>
      <c r="H5" t="s">
        <v>443</v>
      </c>
      <c r="J5" t="s">
        <v>535</v>
      </c>
      <c r="K5" t="s">
        <v>536</v>
      </c>
      <c r="L5">
        <v>28</v>
      </c>
      <c r="M5" t="s">
        <v>448</v>
      </c>
      <c r="N5" s="3">
        <v>45835</v>
      </c>
    </row>
    <row r="6" spans="1:14" x14ac:dyDescent="0.3">
      <c r="A6">
        <v>2025</v>
      </c>
      <c r="B6" t="s">
        <v>626</v>
      </c>
      <c r="C6" t="s">
        <v>439</v>
      </c>
      <c r="D6" t="s">
        <v>627</v>
      </c>
      <c r="E6" t="s">
        <v>629</v>
      </c>
      <c r="F6" t="s">
        <v>628</v>
      </c>
      <c r="H6" t="s">
        <v>443</v>
      </c>
      <c r="J6" t="s">
        <v>630</v>
      </c>
      <c r="K6" t="s">
        <v>631</v>
      </c>
      <c r="M6" t="s">
        <v>352</v>
      </c>
      <c r="N6" s="3">
        <v>45853</v>
      </c>
    </row>
    <row r="7" spans="1:14" x14ac:dyDescent="0.3">
      <c r="A7">
        <v>2020</v>
      </c>
      <c r="B7" t="s">
        <v>342</v>
      </c>
      <c r="C7" t="s">
        <v>439</v>
      </c>
      <c r="D7" t="s">
        <v>667</v>
      </c>
      <c r="E7" t="s">
        <v>669</v>
      </c>
      <c r="F7" t="s">
        <v>668</v>
      </c>
      <c r="G7" s="3">
        <v>43943</v>
      </c>
      <c r="H7" t="s">
        <v>443</v>
      </c>
      <c r="I7" t="s">
        <v>670</v>
      </c>
      <c r="J7" t="s">
        <v>671</v>
      </c>
      <c r="K7" t="s">
        <v>672</v>
      </c>
      <c r="L7">
        <v>46</v>
      </c>
      <c r="M7" t="s">
        <v>352</v>
      </c>
      <c r="N7" s="3">
        <v>43923</v>
      </c>
    </row>
    <row r="8" spans="1:14" x14ac:dyDescent="0.3">
      <c r="A8">
        <v>2025</v>
      </c>
      <c r="B8" t="s">
        <v>342</v>
      </c>
      <c r="C8" t="s">
        <v>618</v>
      </c>
      <c r="D8" t="s">
        <v>619</v>
      </c>
      <c r="E8" t="s">
        <v>621</v>
      </c>
      <c r="F8" t="s">
        <v>620</v>
      </c>
      <c r="G8" s="3">
        <v>45701</v>
      </c>
      <c r="H8" t="s">
        <v>622</v>
      </c>
      <c r="I8" t="s">
        <v>623</v>
      </c>
      <c r="J8" t="s">
        <v>624</v>
      </c>
      <c r="K8" t="s">
        <v>625</v>
      </c>
      <c r="L8">
        <v>14</v>
      </c>
      <c r="M8" t="s">
        <v>362</v>
      </c>
      <c r="N8" s="3">
        <v>45449</v>
      </c>
    </row>
    <row r="9" spans="1:14" x14ac:dyDescent="0.3">
      <c r="A9">
        <v>2023</v>
      </c>
      <c r="B9" t="s">
        <v>342</v>
      </c>
      <c r="C9" t="s">
        <v>455</v>
      </c>
      <c r="D9" t="s">
        <v>456</v>
      </c>
      <c r="E9" t="s">
        <v>458</v>
      </c>
      <c r="F9" t="s">
        <v>457</v>
      </c>
      <c r="G9" s="3">
        <v>45218</v>
      </c>
      <c r="H9" t="s">
        <v>459</v>
      </c>
      <c r="I9" t="s">
        <v>460</v>
      </c>
      <c r="J9" t="s">
        <v>461</v>
      </c>
      <c r="K9" t="s">
        <v>462</v>
      </c>
      <c r="L9">
        <v>32</v>
      </c>
      <c r="M9" t="s">
        <v>362</v>
      </c>
      <c r="N9" s="3">
        <v>45064</v>
      </c>
    </row>
    <row r="10" spans="1:14" x14ac:dyDescent="0.3">
      <c r="A10">
        <v>2023</v>
      </c>
      <c r="B10" t="s">
        <v>342</v>
      </c>
      <c r="C10" t="s">
        <v>455</v>
      </c>
      <c r="D10" t="s">
        <v>472</v>
      </c>
      <c r="E10" t="s">
        <v>474</v>
      </c>
      <c r="F10" t="s">
        <v>473</v>
      </c>
      <c r="G10" s="3">
        <v>44949</v>
      </c>
      <c r="H10" t="s">
        <v>459</v>
      </c>
      <c r="I10" t="s">
        <v>476</v>
      </c>
      <c r="J10" t="s">
        <v>477</v>
      </c>
      <c r="K10" t="s">
        <v>478</v>
      </c>
      <c r="L10">
        <v>39</v>
      </c>
      <c r="M10" t="s">
        <v>362</v>
      </c>
      <c r="N10" s="3">
        <v>44551</v>
      </c>
    </row>
    <row r="11" spans="1:14" x14ac:dyDescent="0.3">
      <c r="A11">
        <v>2021</v>
      </c>
      <c r="B11" t="s">
        <v>342</v>
      </c>
      <c r="C11" t="s">
        <v>455</v>
      </c>
      <c r="D11" t="s">
        <v>525</v>
      </c>
      <c r="E11" t="s">
        <v>527</v>
      </c>
      <c r="F11" t="s">
        <v>526</v>
      </c>
      <c r="G11" s="3">
        <v>44323</v>
      </c>
      <c r="H11" t="s">
        <v>459</v>
      </c>
      <c r="I11" t="s">
        <v>529</v>
      </c>
      <c r="J11" t="s">
        <v>530</v>
      </c>
      <c r="K11" t="s">
        <v>531</v>
      </c>
      <c r="L11">
        <v>38</v>
      </c>
      <c r="M11" t="s">
        <v>352</v>
      </c>
      <c r="N11" s="3">
        <v>44168</v>
      </c>
    </row>
    <row r="12" spans="1:14" x14ac:dyDescent="0.3">
      <c r="A12">
        <v>2025</v>
      </c>
      <c r="B12" t="s">
        <v>342</v>
      </c>
      <c r="C12" t="s">
        <v>455</v>
      </c>
      <c r="D12" t="s">
        <v>600</v>
      </c>
      <c r="E12" t="s">
        <v>602</v>
      </c>
      <c r="F12" t="s">
        <v>601</v>
      </c>
      <c r="G12" s="3">
        <v>45755</v>
      </c>
      <c r="H12" t="s">
        <v>459</v>
      </c>
      <c r="I12" t="s">
        <v>603</v>
      </c>
      <c r="J12" t="s">
        <v>604</v>
      </c>
      <c r="K12" t="s">
        <v>605</v>
      </c>
      <c r="L12">
        <v>30</v>
      </c>
      <c r="M12" t="s">
        <v>362</v>
      </c>
      <c r="N12" s="3">
        <v>45637</v>
      </c>
    </row>
    <row r="13" spans="1:14" x14ac:dyDescent="0.3">
      <c r="A13">
        <v>2024</v>
      </c>
      <c r="B13" t="s">
        <v>342</v>
      </c>
      <c r="C13" t="s">
        <v>455</v>
      </c>
      <c r="D13" t="s">
        <v>660</v>
      </c>
      <c r="E13" t="s">
        <v>662</v>
      </c>
      <c r="F13" t="s">
        <v>661</v>
      </c>
      <c r="G13" s="3">
        <v>45616</v>
      </c>
      <c r="H13" t="s">
        <v>459</v>
      </c>
      <c r="I13" t="s">
        <v>664</v>
      </c>
      <c r="J13" t="s">
        <v>665</v>
      </c>
      <c r="K13" t="s">
        <v>666</v>
      </c>
      <c r="L13">
        <v>34</v>
      </c>
      <c r="M13" t="s">
        <v>448</v>
      </c>
      <c r="N13" s="3">
        <v>45518</v>
      </c>
    </row>
    <row r="14" spans="1:14" x14ac:dyDescent="0.3">
      <c r="A14">
        <v>2021</v>
      </c>
      <c r="B14" t="s">
        <v>342</v>
      </c>
      <c r="C14" t="s">
        <v>455</v>
      </c>
      <c r="D14" t="s">
        <v>679</v>
      </c>
      <c r="E14" t="s">
        <v>681</v>
      </c>
      <c r="F14" t="s">
        <v>680</v>
      </c>
      <c r="G14" s="3">
        <v>44351</v>
      </c>
      <c r="H14" t="s">
        <v>459</v>
      </c>
      <c r="I14" t="s">
        <v>682</v>
      </c>
      <c r="J14" t="s">
        <v>683</v>
      </c>
      <c r="K14" t="s">
        <v>684</v>
      </c>
      <c r="L14">
        <v>52</v>
      </c>
      <c r="M14" t="s">
        <v>362</v>
      </c>
      <c r="N14" s="3">
        <v>44067</v>
      </c>
    </row>
    <row r="15" spans="1:14" x14ac:dyDescent="0.3">
      <c r="A15">
        <v>2024</v>
      </c>
      <c r="B15" t="s">
        <v>342</v>
      </c>
      <c r="C15" t="s">
        <v>652</v>
      </c>
      <c r="D15" t="s">
        <v>653</v>
      </c>
      <c r="E15" t="s">
        <v>655</v>
      </c>
      <c r="F15" t="s">
        <v>654</v>
      </c>
      <c r="G15" s="3">
        <v>45434</v>
      </c>
      <c r="H15" t="s">
        <v>656</v>
      </c>
      <c r="I15" t="s">
        <v>657</v>
      </c>
      <c r="J15" t="s">
        <v>658</v>
      </c>
      <c r="K15" t="s">
        <v>659</v>
      </c>
      <c r="L15">
        <v>41</v>
      </c>
      <c r="M15" t="s">
        <v>352</v>
      </c>
      <c r="N15" s="3">
        <v>45414</v>
      </c>
    </row>
    <row r="16" spans="1:14" x14ac:dyDescent="0.3">
      <c r="A16">
        <v>2025</v>
      </c>
      <c r="B16" t="s">
        <v>342</v>
      </c>
      <c r="C16" t="s">
        <v>685</v>
      </c>
      <c r="D16" t="s">
        <v>686</v>
      </c>
      <c r="E16" t="s">
        <v>688</v>
      </c>
      <c r="F16" t="s">
        <v>687</v>
      </c>
      <c r="G16" s="3">
        <v>45821</v>
      </c>
      <c r="H16" t="s">
        <v>689</v>
      </c>
      <c r="I16" t="s">
        <v>690</v>
      </c>
      <c r="J16" t="s">
        <v>691</v>
      </c>
      <c r="K16" t="s">
        <v>692</v>
      </c>
      <c r="L16">
        <v>65</v>
      </c>
      <c r="M16" t="s">
        <v>352</v>
      </c>
      <c r="N16" s="3">
        <v>45804</v>
      </c>
    </row>
    <row r="17" spans="1:14" x14ac:dyDescent="0.3">
      <c r="A17">
        <v>2024</v>
      </c>
      <c r="B17" t="s">
        <v>342</v>
      </c>
      <c r="C17" t="s">
        <v>405</v>
      </c>
      <c r="D17" t="s">
        <v>406</v>
      </c>
      <c r="E17" t="s">
        <v>408</v>
      </c>
      <c r="F17" t="s">
        <v>407</v>
      </c>
      <c r="G17" s="3">
        <v>45463</v>
      </c>
      <c r="H17" t="s">
        <v>409</v>
      </c>
      <c r="I17" t="s">
        <v>411</v>
      </c>
      <c r="J17" t="s">
        <v>412</v>
      </c>
      <c r="K17" t="s">
        <v>413</v>
      </c>
      <c r="L17">
        <v>37</v>
      </c>
      <c r="M17" t="s">
        <v>362</v>
      </c>
      <c r="N17" s="3">
        <v>45391</v>
      </c>
    </row>
    <row r="18" spans="1:14" x14ac:dyDescent="0.3">
      <c r="A18">
        <v>2025</v>
      </c>
      <c r="B18" t="s">
        <v>342</v>
      </c>
      <c r="C18" t="s">
        <v>423</v>
      </c>
      <c r="D18" t="s">
        <v>424</v>
      </c>
      <c r="E18" t="s">
        <v>426</v>
      </c>
      <c r="F18" t="s">
        <v>425</v>
      </c>
      <c r="G18" s="3">
        <v>45751</v>
      </c>
      <c r="H18" t="s">
        <v>427</v>
      </c>
      <c r="I18" t="s">
        <v>429</v>
      </c>
      <c r="J18" t="s">
        <v>430</v>
      </c>
      <c r="K18" t="s">
        <v>431</v>
      </c>
      <c r="L18">
        <v>60</v>
      </c>
      <c r="M18" t="s">
        <v>362</v>
      </c>
      <c r="N18" s="3">
        <v>45672</v>
      </c>
    </row>
    <row r="19" spans="1:14" x14ac:dyDescent="0.3">
      <c r="A19">
        <v>2023</v>
      </c>
      <c r="B19" t="s">
        <v>342</v>
      </c>
      <c r="C19" t="s">
        <v>353</v>
      </c>
      <c r="D19" t="s">
        <v>354</v>
      </c>
      <c r="E19" t="s">
        <v>356</v>
      </c>
      <c r="F19" t="s">
        <v>355</v>
      </c>
      <c r="G19" s="3">
        <v>45083</v>
      </c>
      <c r="H19" t="s">
        <v>357</v>
      </c>
      <c r="I19" t="s">
        <v>359</v>
      </c>
      <c r="J19" t="s">
        <v>360</v>
      </c>
      <c r="K19" t="s">
        <v>361</v>
      </c>
      <c r="L19">
        <v>50</v>
      </c>
      <c r="M19" t="s">
        <v>362</v>
      </c>
      <c r="N19" s="3">
        <v>44677</v>
      </c>
    </row>
    <row r="20" spans="1:14" x14ac:dyDescent="0.3">
      <c r="A20">
        <v>2022</v>
      </c>
      <c r="B20" t="s">
        <v>342</v>
      </c>
      <c r="C20" t="s">
        <v>353</v>
      </c>
      <c r="D20" t="s">
        <v>363</v>
      </c>
      <c r="E20" t="s">
        <v>364</v>
      </c>
      <c r="F20" t="s">
        <v>355</v>
      </c>
      <c r="G20" s="3">
        <v>44900</v>
      </c>
      <c r="H20" t="s">
        <v>357</v>
      </c>
      <c r="I20" t="s">
        <v>366</v>
      </c>
      <c r="J20" t="s">
        <v>367</v>
      </c>
      <c r="K20" t="s">
        <v>368</v>
      </c>
      <c r="L20">
        <v>61</v>
      </c>
      <c r="M20" t="s">
        <v>362</v>
      </c>
      <c r="N20" s="3">
        <v>44127</v>
      </c>
    </row>
    <row r="21" spans="1:14" x14ac:dyDescent="0.3">
      <c r="A21">
        <v>2025</v>
      </c>
      <c r="B21" t="s">
        <v>342</v>
      </c>
      <c r="C21" t="s">
        <v>353</v>
      </c>
      <c r="D21" t="s">
        <v>484</v>
      </c>
      <c r="E21" t="s">
        <v>486</v>
      </c>
      <c r="F21" t="s">
        <v>485</v>
      </c>
      <c r="G21" s="3">
        <v>45723</v>
      </c>
      <c r="H21" t="s">
        <v>357</v>
      </c>
      <c r="I21" t="s">
        <v>488</v>
      </c>
      <c r="J21" t="s">
        <v>489</v>
      </c>
      <c r="K21" t="s">
        <v>490</v>
      </c>
      <c r="L21">
        <v>40</v>
      </c>
      <c r="M21" t="s">
        <v>362</v>
      </c>
      <c r="N21" s="3">
        <v>45656</v>
      </c>
    </row>
    <row r="22" spans="1:14" x14ac:dyDescent="0.3">
      <c r="A22">
        <v>2024</v>
      </c>
      <c r="B22" t="s">
        <v>342</v>
      </c>
      <c r="C22" t="s">
        <v>353</v>
      </c>
      <c r="D22" t="s">
        <v>537</v>
      </c>
      <c r="E22" t="s">
        <v>539</v>
      </c>
      <c r="F22" t="s">
        <v>538</v>
      </c>
      <c r="G22" s="3">
        <v>45631</v>
      </c>
      <c r="H22" t="s">
        <v>357</v>
      </c>
      <c r="I22" t="s">
        <v>541</v>
      </c>
      <c r="J22" t="s">
        <v>542</v>
      </c>
      <c r="K22" t="s">
        <v>543</v>
      </c>
      <c r="L22">
        <v>98</v>
      </c>
      <c r="M22" t="s">
        <v>362</v>
      </c>
      <c r="N22" s="3">
        <v>45567</v>
      </c>
    </row>
    <row r="23" spans="1:14" x14ac:dyDescent="0.3">
      <c r="A23">
        <v>2024</v>
      </c>
      <c r="B23" t="s">
        <v>342</v>
      </c>
      <c r="C23" t="s">
        <v>353</v>
      </c>
      <c r="D23" t="s">
        <v>552</v>
      </c>
      <c r="E23" t="s">
        <v>554</v>
      </c>
      <c r="F23" t="s">
        <v>553</v>
      </c>
      <c r="G23" s="3">
        <v>45631</v>
      </c>
      <c r="H23" t="s">
        <v>357</v>
      </c>
      <c r="I23" t="s">
        <v>556</v>
      </c>
      <c r="J23" t="s">
        <v>557</v>
      </c>
      <c r="K23" t="s">
        <v>558</v>
      </c>
      <c r="L23">
        <v>62</v>
      </c>
      <c r="M23" t="s">
        <v>448</v>
      </c>
      <c r="N23" s="3">
        <v>45510</v>
      </c>
    </row>
    <row r="24" spans="1:14" x14ac:dyDescent="0.3">
      <c r="A24">
        <v>2024</v>
      </c>
      <c r="B24" t="s">
        <v>342</v>
      </c>
      <c r="C24" t="s">
        <v>353</v>
      </c>
      <c r="D24" t="s">
        <v>606</v>
      </c>
      <c r="E24" t="s">
        <v>608</v>
      </c>
      <c r="F24" t="s">
        <v>607</v>
      </c>
      <c r="G24" s="3">
        <v>45631</v>
      </c>
      <c r="H24" t="s">
        <v>357</v>
      </c>
      <c r="J24" t="s">
        <v>610</v>
      </c>
      <c r="K24" t="s">
        <v>611</v>
      </c>
      <c r="L24">
        <v>49</v>
      </c>
      <c r="M24" t="s">
        <v>362</v>
      </c>
      <c r="N24" s="3">
        <v>45532</v>
      </c>
    </row>
    <row r="25" spans="1:14" x14ac:dyDescent="0.3">
      <c r="A25">
        <v>2024</v>
      </c>
      <c r="B25" t="s">
        <v>342</v>
      </c>
      <c r="C25" t="s">
        <v>463</v>
      </c>
      <c r="D25" t="s">
        <v>464</v>
      </c>
      <c r="E25" t="s">
        <v>466</v>
      </c>
      <c r="F25" t="s">
        <v>465</v>
      </c>
      <c r="G25" s="3">
        <v>45453</v>
      </c>
      <c r="H25" t="s">
        <v>467</v>
      </c>
      <c r="I25" t="s">
        <v>469</v>
      </c>
      <c r="J25" t="s">
        <v>470</v>
      </c>
      <c r="K25" t="s">
        <v>471</v>
      </c>
      <c r="L25">
        <v>42</v>
      </c>
      <c r="M25" t="s">
        <v>362</v>
      </c>
      <c r="N25" s="3">
        <v>45398</v>
      </c>
    </row>
    <row r="26" spans="1:14" x14ac:dyDescent="0.3">
      <c r="A26">
        <v>2024</v>
      </c>
      <c r="B26" t="s">
        <v>342</v>
      </c>
      <c r="C26" t="s">
        <v>385</v>
      </c>
      <c r="D26" t="s">
        <v>386</v>
      </c>
      <c r="E26" t="s">
        <v>388</v>
      </c>
      <c r="F26" t="s">
        <v>387</v>
      </c>
      <c r="G26" s="3">
        <v>45510</v>
      </c>
      <c r="H26" t="s">
        <v>389</v>
      </c>
      <c r="I26" t="s">
        <v>390</v>
      </c>
      <c r="J26" t="s">
        <v>391</v>
      </c>
      <c r="K26" t="s">
        <v>392</v>
      </c>
      <c r="L26">
        <v>33</v>
      </c>
      <c r="M26" t="s">
        <v>362</v>
      </c>
      <c r="N26" s="3">
        <v>45308</v>
      </c>
    </row>
    <row r="27" spans="1:14" x14ac:dyDescent="0.3">
      <c r="A27">
        <v>2024</v>
      </c>
      <c r="B27" t="s">
        <v>342</v>
      </c>
      <c r="C27" t="s">
        <v>385</v>
      </c>
      <c r="D27" t="s">
        <v>393</v>
      </c>
      <c r="E27" t="s">
        <v>395</v>
      </c>
      <c r="F27" t="s">
        <v>394</v>
      </c>
      <c r="G27" s="3">
        <v>45475</v>
      </c>
      <c r="H27" t="s">
        <v>389</v>
      </c>
      <c r="I27" t="s">
        <v>397</v>
      </c>
      <c r="J27" t="s">
        <v>398</v>
      </c>
      <c r="K27" t="s">
        <v>399</v>
      </c>
      <c r="L27">
        <v>63</v>
      </c>
      <c r="M27" t="s">
        <v>362</v>
      </c>
      <c r="N27" s="3">
        <v>45289</v>
      </c>
    </row>
    <row r="28" spans="1:14" x14ac:dyDescent="0.3">
      <c r="A28">
        <v>2024</v>
      </c>
      <c r="B28" t="s">
        <v>342</v>
      </c>
      <c r="C28" t="s">
        <v>385</v>
      </c>
      <c r="D28" t="s">
        <v>612</v>
      </c>
      <c r="E28" t="s">
        <v>614</v>
      </c>
      <c r="F28" t="s">
        <v>613</v>
      </c>
      <c r="G28" s="3">
        <v>45419</v>
      </c>
      <c r="H28" t="s">
        <v>389</v>
      </c>
      <c r="I28" t="s">
        <v>615</v>
      </c>
      <c r="J28" t="s">
        <v>616</v>
      </c>
      <c r="K28" t="s">
        <v>617</v>
      </c>
      <c r="L28">
        <v>38</v>
      </c>
      <c r="M28" t="s">
        <v>362</v>
      </c>
      <c r="N28" s="3">
        <v>45212</v>
      </c>
    </row>
    <row r="29" spans="1:14" x14ac:dyDescent="0.3">
      <c r="A29">
        <v>2023</v>
      </c>
      <c r="B29" t="s">
        <v>342</v>
      </c>
      <c r="C29" t="s">
        <v>544</v>
      </c>
      <c r="D29" t="s">
        <v>545</v>
      </c>
      <c r="E29" t="s">
        <v>547</v>
      </c>
      <c r="F29" t="s">
        <v>546</v>
      </c>
      <c r="G29" s="3">
        <v>45106</v>
      </c>
      <c r="H29" t="s">
        <v>548</v>
      </c>
      <c r="I29" t="s">
        <v>549</v>
      </c>
      <c r="J29" t="s">
        <v>550</v>
      </c>
      <c r="K29" t="s">
        <v>551</v>
      </c>
      <c r="L29">
        <v>53</v>
      </c>
      <c r="M29" t="s">
        <v>362</v>
      </c>
      <c r="N29" s="3">
        <v>44993</v>
      </c>
    </row>
    <row r="30" spans="1:14" x14ac:dyDescent="0.3">
      <c r="A30">
        <v>2025</v>
      </c>
      <c r="B30" t="s">
        <v>342</v>
      </c>
      <c r="C30" t="s">
        <v>544</v>
      </c>
      <c r="D30" t="s">
        <v>569</v>
      </c>
      <c r="E30" t="s">
        <v>571</v>
      </c>
      <c r="F30" t="s">
        <v>570</v>
      </c>
      <c r="G30" s="3">
        <v>45769</v>
      </c>
      <c r="H30" t="s">
        <v>548</v>
      </c>
      <c r="I30" t="s">
        <v>573</v>
      </c>
      <c r="J30" t="s">
        <v>574</v>
      </c>
      <c r="K30" t="s">
        <v>575</v>
      </c>
      <c r="L30">
        <v>36</v>
      </c>
      <c r="M30" t="s">
        <v>352</v>
      </c>
      <c r="N30" s="3">
        <v>45609</v>
      </c>
    </row>
    <row r="31" spans="1:14" x14ac:dyDescent="0.3">
      <c r="A31">
        <v>2021</v>
      </c>
      <c r="B31" t="s">
        <v>342</v>
      </c>
      <c r="C31" t="s">
        <v>377</v>
      </c>
      <c r="D31" t="s">
        <v>378</v>
      </c>
      <c r="E31" t="s">
        <v>380</v>
      </c>
      <c r="F31" t="s">
        <v>379</v>
      </c>
      <c r="G31" s="3">
        <v>44118</v>
      </c>
      <c r="H31" t="s">
        <v>381</v>
      </c>
      <c r="J31" t="s">
        <v>383</v>
      </c>
      <c r="K31" t="s">
        <v>384</v>
      </c>
      <c r="L31">
        <v>51</v>
      </c>
      <c r="M31" t="s">
        <v>362</v>
      </c>
      <c r="N31" s="3">
        <v>44110</v>
      </c>
    </row>
    <row r="32" spans="1:14" x14ac:dyDescent="0.3">
      <c r="A32">
        <v>2023</v>
      </c>
      <c r="B32" t="s">
        <v>342</v>
      </c>
      <c r="C32" t="s">
        <v>377</v>
      </c>
      <c r="D32" t="s">
        <v>400</v>
      </c>
      <c r="E32" t="s">
        <v>402</v>
      </c>
      <c r="F32" t="s">
        <v>401</v>
      </c>
      <c r="G32" s="3">
        <v>44886</v>
      </c>
      <c r="H32" t="s">
        <v>381</v>
      </c>
      <c r="J32" t="s">
        <v>383</v>
      </c>
      <c r="K32" t="s">
        <v>404</v>
      </c>
      <c r="L32">
        <v>51</v>
      </c>
      <c r="M32" t="s">
        <v>362</v>
      </c>
      <c r="N32" s="3">
        <v>44848</v>
      </c>
    </row>
    <row r="33" spans="1:14" x14ac:dyDescent="0.3">
      <c r="A33">
        <v>2023</v>
      </c>
      <c r="B33" t="s">
        <v>342</v>
      </c>
      <c r="C33" t="s">
        <v>377</v>
      </c>
      <c r="D33" t="s">
        <v>504</v>
      </c>
      <c r="E33" t="s">
        <v>506</v>
      </c>
      <c r="F33" t="s">
        <v>505</v>
      </c>
      <c r="G33" s="3">
        <v>45223</v>
      </c>
      <c r="H33" t="s">
        <v>381</v>
      </c>
      <c r="I33" t="s">
        <v>508</v>
      </c>
      <c r="J33" t="s">
        <v>509</v>
      </c>
      <c r="K33" t="s">
        <v>510</v>
      </c>
      <c r="L33">
        <v>46</v>
      </c>
      <c r="M33" t="s">
        <v>362</v>
      </c>
      <c r="N33" s="3">
        <v>45209</v>
      </c>
    </row>
    <row r="34" spans="1:14" x14ac:dyDescent="0.3">
      <c r="A34">
        <v>2024</v>
      </c>
      <c r="B34" t="s">
        <v>342</v>
      </c>
      <c r="C34" t="s">
        <v>377</v>
      </c>
      <c r="D34" t="s">
        <v>511</v>
      </c>
      <c r="E34" t="s">
        <v>513</v>
      </c>
      <c r="F34" t="s">
        <v>512</v>
      </c>
      <c r="G34" s="3">
        <v>45351</v>
      </c>
      <c r="H34" t="s">
        <v>381</v>
      </c>
      <c r="I34" t="s">
        <v>515</v>
      </c>
      <c r="J34" t="s">
        <v>516</v>
      </c>
      <c r="K34" t="s">
        <v>517</v>
      </c>
      <c r="L34">
        <v>59</v>
      </c>
      <c r="M34" t="s">
        <v>362</v>
      </c>
      <c r="N34" s="3">
        <v>45335</v>
      </c>
    </row>
    <row r="35" spans="1:14" x14ac:dyDescent="0.3">
      <c r="A35">
        <v>2024</v>
      </c>
      <c r="B35" t="s">
        <v>342</v>
      </c>
      <c r="C35" t="s">
        <v>377</v>
      </c>
      <c r="D35" t="s">
        <v>581</v>
      </c>
      <c r="E35" t="s">
        <v>583</v>
      </c>
      <c r="F35" t="s">
        <v>582</v>
      </c>
      <c r="G35" s="3">
        <v>45569</v>
      </c>
      <c r="H35" t="s">
        <v>381</v>
      </c>
      <c r="I35" t="s">
        <v>584</v>
      </c>
      <c r="J35" t="s">
        <v>585</v>
      </c>
      <c r="K35" t="s">
        <v>586</v>
      </c>
      <c r="L35">
        <v>55</v>
      </c>
      <c r="M35" t="s">
        <v>362</v>
      </c>
      <c r="N35" s="3">
        <v>45552</v>
      </c>
    </row>
    <row r="36" spans="1:14" x14ac:dyDescent="0.3">
      <c r="A36">
        <v>2022</v>
      </c>
      <c r="B36" t="s">
        <v>342</v>
      </c>
      <c r="C36" t="s">
        <v>377</v>
      </c>
      <c r="D36" t="s">
        <v>587</v>
      </c>
      <c r="E36" t="s">
        <v>589</v>
      </c>
      <c r="F36" t="s">
        <v>588</v>
      </c>
      <c r="G36" s="3">
        <v>44768</v>
      </c>
      <c r="H36" t="s">
        <v>381</v>
      </c>
      <c r="I36" t="s">
        <v>591</v>
      </c>
      <c r="J36" t="s">
        <v>592</v>
      </c>
      <c r="K36" t="s">
        <v>593</v>
      </c>
      <c r="L36">
        <v>54</v>
      </c>
      <c r="M36" t="s">
        <v>362</v>
      </c>
      <c r="N36" s="3">
        <v>44684</v>
      </c>
    </row>
    <row r="37" spans="1:14" x14ac:dyDescent="0.3">
      <c r="A37">
        <v>2025</v>
      </c>
      <c r="B37" t="s">
        <v>342</v>
      </c>
      <c r="C37" t="s">
        <v>377</v>
      </c>
      <c r="D37" t="s">
        <v>594</v>
      </c>
      <c r="E37" t="s">
        <v>596</v>
      </c>
      <c r="F37" t="s">
        <v>595</v>
      </c>
      <c r="G37" s="3">
        <v>45827</v>
      </c>
      <c r="H37" t="s">
        <v>381</v>
      </c>
      <c r="I37" t="s">
        <v>597</v>
      </c>
      <c r="J37" t="s">
        <v>598</v>
      </c>
      <c r="K37" t="s">
        <v>599</v>
      </c>
      <c r="L37">
        <v>49</v>
      </c>
      <c r="M37" t="s">
        <v>362</v>
      </c>
      <c r="N37" s="3">
        <v>45812</v>
      </c>
    </row>
    <row r="38" spans="1:14" x14ac:dyDescent="0.3">
      <c r="A38">
        <v>2025</v>
      </c>
      <c r="B38" t="s">
        <v>342</v>
      </c>
      <c r="C38" t="s">
        <v>377</v>
      </c>
      <c r="D38" t="s">
        <v>632</v>
      </c>
      <c r="E38" t="s">
        <v>634</v>
      </c>
      <c r="F38" t="s">
        <v>633</v>
      </c>
      <c r="G38" s="3">
        <v>45771</v>
      </c>
      <c r="H38" t="s">
        <v>381</v>
      </c>
      <c r="I38" t="s">
        <v>635</v>
      </c>
      <c r="J38" t="s">
        <v>636</v>
      </c>
      <c r="K38" t="s">
        <v>637</v>
      </c>
      <c r="L38">
        <v>71</v>
      </c>
      <c r="M38" t="s">
        <v>352</v>
      </c>
      <c r="N38" s="3">
        <v>45756</v>
      </c>
    </row>
    <row r="39" spans="1:14" x14ac:dyDescent="0.3">
      <c r="A39">
        <v>2025</v>
      </c>
      <c r="B39" t="s">
        <v>342</v>
      </c>
      <c r="C39" t="s">
        <v>377</v>
      </c>
      <c r="D39" t="s">
        <v>673</v>
      </c>
      <c r="E39" t="s">
        <v>675</v>
      </c>
      <c r="F39" t="s">
        <v>674</v>
      </c>
      <c r="G39" s="3">
        <v>45653</v>
      </c>
      <c r="H39" t="s">
        <v>381</v>
      </c>
      <c r="I39" t="s">
        <v>676</v>
      </c>
      <c r="J39" t="s">
        <v>677</v>
      </c>
      <c r="K39" t="s">
        <v>678</v>
      </c>
      <c r="L39">
        <v>78</v>
      </c>
      <c r="M39" t="s">
        <v>362</v>
      </c>
      <c r="N39" s="3">
        <v>45630</v>
      </c>
    </row>
    <row r="40" spans="1:14" x14ac:dyDescent="0.3">
      <c r="A40">
        <v>2025</v>
      </c>
      <c r="B40" t="s">
        <v>342</v>
      </c>
      <c r="C40" t="s">
        <v>343</v>
      </c>
      <c r="D40" t="s">
        <v>344</v>
      </c>
      <c r="E40" t="s">
        <v>346</v>
      </c>
      <c r="F40" t="s">
        <v>345</v>
      </c>
      <c r="G40" s="3">
        <v>45807</v>
      </c>
      <c r="H40" t="s">
        <v>347</v>
      </c>
      <c r="I40" t="s">
        <v>349</v>
      </c>
      <c r="J40" t="s">
        <v>350</v>
      </c>
      <c r="K40" t="s">
        <v>351</v>
      </c>
      <c r="L40">
        <v>48</v>
      </c>
      <c r="M40" t="s">
        <v>352</v>
      </c>
      <c r="N40" s="3">
        <v>45783</v>
      </c>
    </row>
    <row r="41" spans="1:14" x14ac:dyDescent="0.3">
      <c r="A41">
        <v>2025</v>
      </c>
      <c r="B41" t="s">
        <v>342</v>
      </c>
      <c r="C41" t="s">
        <v>414</v>
      </c>
      <c r="D41" t="s">
        <v>415</v>
      </c>
      <c r="E41" t="s">
        <v>417</v>
      </c>
      <c r="F41" t="s">
        <v>416</v>
      </c>
      <c r="G41" s="3">
        <v>45758</v>
      </c>
      <c r="H41" t="s">
        <v>418</v>
      </c>
      <c r="I41" t="s">
        <v>420</v>
      </c>
      <c r="J41" t="s">
        <v>421</v>
      </c>
      <c r="K41" t="s">
        <v>422</v>
      </c>
      <c r="L41">
        <v>33</v>
      </c>
      <c r="M41" t="s">
        <v>362</v>
      </c>
      <c r="N41" s="3">
        <v>45664</v>
      </c>
    </row>
    <row r="42" spans="1:14" x14ac:dyDescent="0.3">
      <c r="A42">
        <v>2024</v>
      </c>
      <c r="B42" t="s">
        <v>342</v>
      </c>
      <c r="C42" t="s">
        <v>414</v>
      </c>
      <c r="D42" t="s">
        <v>432</v>
      </c>
      <c r="E42" t="s">
        <v>434</v>
      </c>
      <c r="F42" t="s">
        <v>433</v>
      </c>
      <c r="G42" s="3">
        <v>45573</v>
      </c>
      <c r="H42" t="s">
        <v>418</v>
      </c>
      <c r="I42" t="s">
        <v>436</v>
      </c>
      <c r="J42" t="s">
        <v>437</v>
      </c>
      <c r="K42" t="s">
        <v>438</v>
      </c>
      <c r="L42">
        <v>43</v>
      </c>
      <c r="M42" t="s">
        <v>362</v>
      </c>
      <c r="N42" s="3">
        <v>45394</v>
      </c>
    </row>
    <row r="43" spans="1:14" x14ac:dyDescent="0.3">
      <c r="A43">
        <v>2025</v>
      </c>
      <c r="B43" t="s">
        <v>342</v>
      </c>
      <c r="C43" t="s">
        <v>414</v>
      </c>
      <c r="D43" t="s">
        <v>449</v>
      </c>
      <c r="E43" t="s">
        <v>451</v>
      </c>
      <c r="F43" t="s">
        <v>450</v>
      </c>
      <c r="G43" s="3">
        <v>45695</v>
      </c>
      <c r="H43" t="s">
        <v>418</v>
      </c>
      <c r="I43" t="s">
        <v>452</v>
      </c>
      <c r="J43" t="s">
        <v>453</v>
      </c>
      <c r="K43" t="s">
        <v>454</v>
      </c>
      <c r="L43">
        <v>40</v>
      </c>
      <c r="M43" t="s">
        <v>362</v>
      </c>
      <c r="N43" s="3">
        <v>45596</v>
      </c>
    </row>
    <row r="44" spans="1:14" x14ac:dyDescent="0.3">
      <c r="A44">
        <v>2024</v>
      </c>
      <c r="B44" t="s">
        <v>342</v>
      </c>
      <c r="C44" t="s">
        <v>414</v>
      </c>
      <c r="D44" t="s">
        <v>479</v>
      </c>
      <c r="E44" t="s">
        <v>481</v>
      </c>
      <c r="F44" t="s">
        <v>480</v>
      </c>
      <c r="G44" s="3">
        <v>45573</v>
      </c>
      <c r="H44" t="s">
        <v>418</v>
      </c>
      <c r="J44" t="s">
        <v>482</v>
      </c>
      <c r="K44" t="s">
        <v>483</v>
      </c>
      <c r="L44">
        <v>50</v>
      </c>
      <c r="M44" t="s">
        <v>362</v>
      </c>
      <c r="N44" s="3">
        <v>45422</v>
      </c>
    </row>
    <row r="45" spans="1:14" x14ac:dyDescent="0.3">
      <c r="A45">
        <v>2023</v>
      </c>
      <c r="B45" t="s">
        <v>342</v>
      </c>
      <c r="C45" t="s">
        <v>414</v>
      </c>
      <c r="D45" t="s">
        <v>559</v>
      </c>
      <c r="E45" t="s">
        <v>561</v>
      </c>
      <c r="F45" t="s">
        <v>560</v>
      </c>
      <c r="G45" s="3">
        <v>45208</v>
      </c>
      <c r="H45" t="s">
        <v>418</v>
      </c>
      <c r="I45" t="s">
        <v>562</v>
      </c>
      <c r="J45" t="s">
        <v>563</v>
      </c>
      <c r="K45" t="s">
        <v>564</v>
      </c>
      <c r="L45">
        <v>75</v>
      </c>
      <c r="M45" t="s">
        <v>362</v>
      </c>
      <c r="N45" s="3">
        <v>45056</v>
      </c>
    </row>
    <row r="46" spans="1:14" x14ac:dyDescent="0.3">
      <c r="A46">
        <v>2024</v>
      </c>
      <c r="B46" t="s">
        <v>342</v>
      </c>
      <c r="C46" t="s">
        <v>369</v>
      </c>
      <c r="D46" t="s">
        <v>370</v>
      </c>
      <c r="E46" t="s">
        <v>372</v>
      </c>
      <c r="F46" t="s">
        <v>371</v>
      </c>
      <c r="G46" s="3">
        <v>45448</v>
      </c>
      <c r="H46" t="s">
        <v>373</v>
      </c>
      <c r="I46" t="s">
        <v>374</v>
      </c>
      <c r="J46" t="s">
        <v>375</v>
      </c>
      <c r="K46" t="s">
        <v>376</v>
      </c>
      <c r="L46">
        <v>38</v>
      </c>
      <c r="M46" t="s">
        <v>362</v>
      </c>
      <c r="N46" s="3">
        <v>45170</v>
      </c>
    </row>
    <row r="47" spans="1:14" x14ac:dyDescent="0.3">
      <c r="A47">
        <v>2024</v>
      </c>
      <c r="B47" t="s">
        <v>342</v>
      </c>
      <c r="C47" t="s">
        <v>369</v>
      </c>
      <c r="D47" t="s">
        <v>646</v>
      </c>
      <c r="E47" t="s">
        <v>648</v>
      </c>
      <c r="F47" t="s">
        <v>647</v>
      </c>
      <c r="G47" s="3">
        <v>45448</v>
      </c>
      <c r="H47" t="s">
        <v>373</v>
      </c>
      <c r="I47" t="s">
        <v>649</v>
      </c>
      <c r="J47" t="s">
        <v>650</v>
      </c>
      <c r="K47" t="s">
        <v>651</v>
      </c>
      <c r="L47">
        <v>50</v>
      </c>
      <c r="M47" t="s">
        <v>352</v>
      </c>
      <c r="N47" s="3">
        <v>45259</v>
      </c>
    </row>
    <row r="48" spans="1:14" x14ac:dyDescent="0.3">
      <c r="A48">
        <v>2024</v>
      </c>
      <c r="B48" t="s">
        <v>342</v>
      </c>
      <c r="C48" t="s">
        <v>518</v>
      </c>
      <c r="D48" t="s">
        <v>181</v>
      </c>
      <c r="E48" t="s">
        <v>520</v>
      </c>
      <c r="F48" t="s">
        <v>519</v>
      </c>
      <c r="G48" s="3">
        <v>45645</v>
      </c>
      <c r="H48" t="s">
        <v>521</v>
      </c>
      <c r="I48" t="s">
        <v>522</v>
      </c>
      <c r="J48" t="s">
        <v>523</v>
      </c>
      <c r="K48" t="s">
        <v>524</v>
      </c>
      <c r="L48">
        <v>51</v>
      </c>
      <c r="M48" t="s">
        <v>362</v>
      </c>
      <c r="N48" s="3">
        <v>45575</v>
      </c>
    </row>
    <row r="49" spans="1:14" x14ac:dyDescent="0.3">
      <c r="A49">
        <v>2022</v>
      </c>
      <c r="B49" t="s">
        <v>342</v>
      </c>
      <c r="C49" t="s">
        <v>518</v>
      </c>
      <c r="D49" t="s">
        <v>61</v>
      </c>
      <c r="E49" t="s">
        <v>64</v>
      </c>
      <c r="F49" t="s">
        <v>565</v>
      </c>
      <c r="G49" s="3">
        <v>44911</v>
      </c>
      <c r="H49" t="s">
        <v>521</v>
      </c>
      <c r="I49" t="s">
        <v>566</v>
      </c>
      <c r="J49" t="s">
        <v>567</v>
      </c>
      <c r="K49" t="s">
        <v>568</v>
      </c>
      <c r="L49">
        <v>52</v>
      </c>
      <c r="M49" t="s">
        <v>362</v>
      </c>
      <c r="N49" s="3">
        <v>44733</v>
      </c>
    </row>
    <row r="50" spans="1:14" x14ac:dyDescent="0.3">
      <c r="A50">
        <v>2024</v>
      </c>
      <c r="B50" t="s">
        <v>342</v>
      </c>
      <c r="C50" t="s">
        <v>518</v>
      </c>
      <c r="D50" t="s">
        <v>193</v>
      </c>
      <c r="E50" t="s">
        <v>577</v>
      </c>
      <c r="F50" t="s">
        <v>576</v>
      </c>
      <c r="G50" s="3">
        <v>45460</v>
      </c>
      <c r="H50" t="s">
        <v>521</v>
      </c>
      <c r="I50" t="s">
        <v>578</v>
      </c>
      <c r="J50" t="s">
        <v>579</v>
      </c>
      <c r="K50" t="s">
        <v>580</v>
      </c>
      <c r="L50">
        <v>75</v>
      </c>
      <c r="M50" t="s">
        <v>362</v>
      </c>
      <c r="N50" s="3">
        <v>45344</v>
      </c>
    </row>
    <row r="51" spans="1:14" x14ac:dyDescent="0.3">
      <c r="A51">
        <v>2025</v>
      </c>
      <c r="B51" t="s">
        <v>638</v>
      </c>
      <c r="C51" t="s">
        <v>639</v>
      </c>
      <c r="D51" t="s">
        <v>640</v>
      </c>
      <c r="E51" t="s">
        <v>642</v>
      </c>
      <c r="F51" t="s">
        <v>641</v>
      </c>
      <c r="G51" s="3">
        <v>45728</v>
      </c>
      <c r="H51" t="s">
        <v>643</v>
      </c>
      <c r="J51" t="s">
        <v>644</v>
      </c>
      <c r="K51" t="s">
        <v>645</v>
      </c>
      <c r="L51">
        <v>57</v>
      </c>
      <c r="N51" s="3">
        <v>45728</v>
      </c>
    </row>
  </sheetData>
  <sortState xmlns:xlrd2="http://schemas.microsoft.com/office/spreadsheetml/2017/richdata2" ref="B2:N51">
    <sortCondition ref="E1:E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06622-8451-46DB-B181-DCA6F9BC2561}">
  <dimension ref="A1:G6"/>
  <sheetViews>
    <sheetView workbookViewId="0">
      <selection activeCell="C2" sqref="C2"/>
    </sheetView>
  </sheetViews>
  <sheetFormatPr defaultRowHeight="14.4" x14ac:dyDescent="0.3"/>
  <cols>
    <col min="3" max="3" width="15.109375" bestFit="1" customWidth="1"/>
    <col min="5" max="5" width="24.21875" customWidth="1"/>
  </cols>
  <sheetData>
    <row r="1" spans="1:7" x14ac:dyDescent="0.3">
      <c r="A1" t="s">
        <v>1</v>
      </c>
      <c r="B1" t="s">
        <v>0</v>
      </c>
      <c r="C1" t="s">
        <v>2</v>
      </c>
      <c r="D1" t="s">
        <v>3</v>
      </c>
      <c r="E1" t="s">
        <v>4</v>
      </c>
      <c r="F1" t="s">
        <v>8</v>
      </c>
      <c r="G1" t="s">
        <v>9</v>
      </c>
    </row>
    <row r="2" spans="1:7" x14ac:dyDescent="0.3">
      <c r="A2">
        <v>2024</v>
      </c>
      <c r="B2" t="s">
        <v>697</v>
      </c>
      <c r="C2" t="s">
        <v>704</v>
      </c>
      <c r="D2" t="s">
        <v>702</v>
      </c>
      <c r="E2" t="s">
        <v>703</v>
      </c>
      <c r="F2" t="s">
        <v>705</v>
      </c>
      <c r="G2">
        <v>2024</v>
      </c>
    </row>
    <row r="3" spans="1:7" x14ac:dyDescent="0.3">
      <c r="A3">
        <v>2020</v>
      </c>
      <c r="B3" t="s">
        <v>697</v>
      </c>
      <c r="C3" t="s">
        <v>695</v>
      </c>
      <c r="D3" t="s">
        <v>693</v>
      </c>
      <c r="E3" t="s">
        <v>694</v>
      </c>
      <c r="F3" t="s">
        <v>696</v>
      </c>
      <c r="G3">
        <v>2020</v>
      </c>
    </row>
    <row r="4" spans="1:7" x14ac:dyDescent="0.3">
      <c r="A4">
        <v>2024</v>
      </c>
      <c r="B4" t="s">
        <v>697</v>
      </c>
      <c r="C4" t="s">
        <v>695</v>
      </c>
      <c r="D4" t="s">
        <v>702</v>
      </c>
      <c r="E4" t="s">
        <v>706</v>
      </c>
      <c r="F4" t="s">
        <v>707</v>
      </c>
      <c r="G4">
        <v>2024</v>
      </c>
    </row>
    <row r="5" spans="1:7" x14ac:dyDescent="0.3">
      <c r="A5">
        <v>2020</v>
      </c>
      <c r="B5" t="s">
        <v>697</v>
      </c>
      <c r="C5" t="s">
        <v>700</v>
      </c>
      <c r="D5" t="s">
        <v>698</v>
      </c>
      <c r="E5" t="s">
        <v>699</v>
      </c>
      <c r="F5" t="s">
        <v>701</v>
      </c>
      <c r="G5">
        <v>2020</v>
      </c>
    </row>
    <row r="6" spans="1:7" x14ac:dyDescent="0.3">
      <c r="A6">
        <v>2025</v>
      </c>
      <c r="B6" t="s">
        <v>697</v>
      </c>
      <c r="C6" t="s">
        <v>710</v>
      </c>
      <c r="D6" t="s">
        <v>708</v>
      </c>
      <c r="E6" t="s">
        <v>709</v>
      </c>
      <c r="F6" t="s">
        <v>711</v>
      </c>
      <c r="G6">
        <v>2025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C145C-6805-4527-B402-C5E793956CF5}">
  <dimension ref="A1:M138"/>
  <sheetViews>
    <sheetView workbookViewId="0">
      <selection activeCell="A2" sqref="A2"/>
    </sheetView>
  </sheetViews>
  <sheetFormatPr defaultRowHeight="14.4" x14ac:dyDescent="0.3"/>
  <cols>
    <col min="2" max="2" width="11.77734375" customWidth="1"/>
    <col min="3" max="4" width="28.21875" customWidth="1"/>
    <col min="5" max="5" width="15" customWidth="1"/>
    <col min="6" max="6" width="21" customWidth="1"/>
    <col min="9" max="9" width="8.109375" customWidth="1"/>
    <col min="10" max="10" width="11.44140625" customWidth="1"/>
    <col min="11" max="12" width="13.6640625" bestFit="1" customWidth="1"/>
    <col min="13" max="13" width="13.44140625" customWidth="1"/>
  </cols>
  <sheetData>
    <row r="1" spans="1:13" x14ac:dyDescent="0.3">
      <c r="A1" s="1" t="s">
        <v>1</v>
      </c>
      <c r="B1" t="s">
        <v>0</v>
      </c>
      <c r="C1" s="1" t="s">
        <v>712</v>
      </c>
      <c r="D1" s="1" t="s">
        <v>2</v>
      </c>
      <c r="E1" s="1" t="s">
        <v>4</v>
      </c>
      <c r="F1" s="1" t="s">
        <v>8</v>
      </c>
      <c r="G1" s="1" t="s">
        <v>3</v>
      </c>
      <c r="H1" s="1" t="s">
        <v>5</v>
      </c>
      <c r="I1" s="1" t="s">
        <v>6</v>
      </c>
      <c r="J1" s="1" t="s">
        <v>9</v>
      </c>
      <c r="K1" s="1" t="s">
        <v>10</v>
      </c>
      <c r="L1" s="1" t="s">
        <v>11</v>
      </c>
      <c r="M1" s="1" t="s">
        <v>713</v>
      </c>
    </row>
    <row r="2" spans="1:13" x14ac:dyDescent="0.3">
      <c r="A2" s="1">
        <v>2023</v>
      </c>
      <c r="B2" t="s">
        <v>714</v>
      </c>
      <c r="C2" s="1" t="s">
        <v>770</v>
      </c>
      <c r="D2" s="1" t="s">
        <v>948</v>
      </c>
      <c r="E2" s="1" t="s">
        <v>950</v>
      </c>
      <c r="F2" s="1" t="s">
        <v>773</v>
      </c>
      <c r="G2" s="1" t="s">
        <v>949</v>
      </c>
      <c r="H2" s="1" t="s">
        <v>771</v>
      </c>
      <c r="I2" s="1" t="s">
        <v>772</v>
      </c>
      <c r="J2" s="4">
        <v>43891</v>
      </c>
      <c r="K2" s="2">
        <v>45865.394490740742</v>
      </c>
      <c r="L2" s="2">
        <v>45865.394490740742</v>
      </c>
      <c r="M2" s="1" t="s">
        <v>774</v>
      </c>
    </row>
    <row r="3" spans="1:13" x14ac:dyDescent="0.3">
      <c r="A3" s="1">
        <v>2025</v>
      </c>
      <c r="B3" t="s">
        <v>714</v>
      </c>
      <c r="C3" s="1" t="s">
        <v>770</v>
      </c>
      <c r="D3" s="1" t="s">
        <v>715</v>
      </c>
      <c r="E3" s="1" t="s">
        <v>1422</v>
      </c>
      <c r="F3" s="1" t="s">
        <v>1259</v>
      </c>
      <c r="G3" s="1" t="s">
        <v>1421</v>
      </c>
      <c r="H3" s="1" t="s">
        <v>771</v>
      </c>
      <c r="I3" s="1" t="s">
        <v>1258</v>
      </c>
      <c r="J3" s="4">
        <v>45383</v>
      </c>
      <c r="K3" s="2">
        <v>45865.38480324074</v>
      </c>
      <c r="L3" s="2">
        <v>45865.38480324074</v>
      </c>
      <c r="M3" s="1" t="s">
        <v>1260</v>
      </c>
    </row>
    <row r="4" spans="1:13" x14ac:dyDescent="0.3">
      <c r="A4" s="1">
        <v>2024</v>
      </c>
      <c r="B4" t="s">
        <v>714</v>
      </c>
      <c r="C4" s="1" t="s">
        <v>770</v>
      </c>
      <c r="D4" s="1" t="s">
        <v>724</v>
      </c>
      <c r="E4" s="1" t="s">
        <v>1119</v>
      </c>
      <c r="F4" s="1" t="s">
        <v>1383</v>
      </c>
      <c r="G4" s="1" t="s">
        <v>1118</v>
      </c>
      <c r="H4" s="1" t="s">
        <v>771</v>
      </c>
      <c r="I4" s="1" t="s">
        <v>1382</v>
      </c>
      <c r="J4" s="4">
        <v>45839</v>
      </c>
      <c r="K4" s="2">
        <v>45865.374305555553</v>
      </c>
      <c r="L4" s="2">
        <v>45865.374305555553</v>
      </c>
      <c r="M4" s="1" t="s">
        <v>1384</v>
      </c>
    </row>
    <row r="5" spans="1:13" x14ac:dyDescent="0.3">
      <c r="A5" s="1">
        <v>2020</v>
      </c>
      <c r="B5" t="s">
        <v>714</v>
      </c>
      <c r="C5" s="1" t="s">
        <v>770</v>
      </c>
      <c r="D5" s="1" t="s">
        <v>730</v>
      </c>
      <c r="E5" s="1" t="s">
        <v>740</v>
      </c>
      <c r="F5" s="1" t="s">
        <v>1406</v>
      </c>
      <c r="G5" s="1" t="s">
        <v>739</v>
      </c>
      <c r="H5" s="1" t="s">
        <v>771</v>
      </c>
      <c r="I5" s="1" t="s">
        <v>1405</v>
      </c>
      <c r="J5" s="4">
        <v>45962</v>
      </c>
      <c r="K5" s="2">
        <v>45865.374305555553</v>
      </c>
      <c r="L5" s="2">
        <v>45865.374305555553</v>
      </c>
      <c r="M5" s="1" t="s">
        <v>1407</v>
      </c>
    </row>
    <row r="6" spans="1:13" x14ac:dyDescent="0.3">
      <c r="A6" s="1">
        <v>2024</v>
      </c>
      <c r="B6" t="s">
        <v>714</v>
      </c>
      <c r="C6" s="1" t="s">
        <v>770</v>
      </c>
      <c r="D6" s="1" t="s">
        <v>778</v>
      </c>
      <c r="E6" s="1" t="s">
        <v>1184</v>
      </c>
      <c r="F6" s="1" t="s">
        <v>1460</v>
      </c>
      <c r="G6" s="1" t="s">
        <v>1183</v>
      </c>
      <c r="H6" s="1" t="s">
        <v>771</v>
      </c>
      <c r="I6" s="1" t="s">
        <v>1459</v>
      </c>
      <c r="J6" s="4">
        <v>45962</v>
      </c>
      <c r="K6" s="2">
        <v>45865.38480324074</v>
      </c>
      <c r="L6" s="2">
        <v>45865.38480324074</v>
      </c>
      <c r="M6" s="1" t="s">
        <v>1461</v>
      </c>
    </row>
    <row r="7" spans="1:13" x14ac:dyDescent="0.3">
      <c r="A7" s="1">
        <v>2024</v>
      </c>
      <c r="B7" t="s">
        <v>714</v>
      </c>
      <c r="C7" s="1" t="s">
        <v>751</v>
      </c>
      <c r="D7" s="1" t="s">
        <v>715</v>
      </c>
      <c r="E7" s="1" t="s">
        <v>1102</v>
      </c>
      <c r="F7" s="1" t="s">
        <v>1074</v>
      </c>
      <c r="G7" s="1" t="s">
        <v>248</v>
      </c>
      <c r="H7" s="1" t="s">
        <v>754</v>
      </c>
      <c r="I7" s="1" t="s">
        <v>1073</v>
      </c>
      <c r="J7" s="4">
        <v>45292</v>
      </c>
      <c r="K7" s="2">
        <v>45865.374305555553</v>
      </c>
      <c r="L7" s="2">
        <v>45865.374305555553</v>
      </c>
      <c r="M7" s="1" t="s">
        <v>1075</v>
      </c>
    </row>
    <row r="8" spans="1:13" x14ac:dyDescent="0.3">
      <c r="A8" s="1">
        <v>2024</v>
      </c>
      <c r="B8" t="s">
        <v>714</v>
      </c>
      <c r="C8" s="1" t="s">
        <v>751</v>
      </c>
      <c r="D8" s="1" t="s">
        <v>715</v>
      </c>
      <c r="E8" s="1" t="s">
        <v>1300</v>
      </c>
      <c r="F8" s="1" t="s">
        <v>1206</v>
      </c>
      <c r="G8" s="1" t="s">
        <v>1299</v>
      </c>
      <c r="H8" s="1" t="s">
        <v>754</v>
      </c>
      <c r="I8" s="1" t="s">
        <v>1205</v>
      </c>
      <c r="J8" s="4">
        <v>45323</v>
      </c>
      <c r="K8" s="2">
        <v>45865.374305555553</v>
      </c>
      <c r="L8" s="2">
        <v>45865.374305555553</v>
      </c>
      <c r="M8" s="1" t="s">
        <v>1207</v>
      </c>
    </row>
    <row r="9" spans="1:13" x14ac:dyDescent="0.3">
      <c r="A9" s="1">
        <v>2025</v>
      </c>
      <c r="B9" t="s">
        <v>714</v>
      </c>
      <c r="C9" s="1" t="s">
        <v>1246</v>
      </c>
      <c r="D9" s="1" t="s">
        <v>715</v>
      </c>
      <c r="E9" s="1" t="s">
        <v>1357</v>
      </c>
      <c r="F9" s="1" t="s">
        <v>1251</v>
      </c>
      <c r="G9" s="1" t="s">
        <v>1356</v>
      </c>
      <c r="H9" s="1" t="s">
        <v>1249</v>
      </c>
      <c r="I9" s="1" t="s">
        <v>1250</v>
      </c>
      <c r="J9" s="4">
        <v>45292</v>
      </c>
      <c r="K9" s="2">
        <v>45865.38480324074</v>
      </c>
      <c r="L9" s="2">
        <v>45865.38480324074</v>
      </c>
      <c r="M9" s="1" t="s">
        <v>1252</v>
      </c>
    </row>
    <row r="10" spans="1:13" x14ac:dyDescent="0.3">
      <c r="A10" s="1">
        <v>2024</v>
      </c>
      <c r="B10" t="s">
        <v>714</v>
      </c>
      <c r="C10" s="1" t="s">
        <v>1081</v>
      </c>
      <c r="D10" s="1" t="s">
        <v>715</v>
      </c>
      <c r="E10" s="1" t="s">
        <v>1109</v>
      </c>
      <c r="F10" s="1" t="s">
        <v>1086</v>
      </c>
      <c r="G10" s="1" t="s">
        <v>1108</v>
      </c>
      <c r="H10" s="1" t="s">
        <v>1084</v>
      </c>
      <c r="I10" s="1" t="s">
        <v>1085</v>
      </c>
      <c r="J10" s="4">
        <v>45320</v>
      </c>
      <c r="K10" s="2">
        <v>45865.374305555553</v>
      </c>
      <c r="L10" s="2">
        <v>45865.374305555553</v>
      </c>
      <c r="M10" s="1" t="s">
        <v>1087</v>
      </c>
    </row>
    <row r="11" spans="1:13" x14ac:dyDescent="0.3">
      <c r="A11" s="1">
        <v>2020</v>
      </c>
      <c r="B11" t="s">
        <v>714</v>
      </c>
      <c r="C11" s="1" t="s">
        <v>726</v>
      </c>
      <c r="D11" s="1" t="s">
        <v>724</v>
      </c>
      <c r="E11" s="1" t="s">
        <v>742</v>
      </c>
      <c r="F11" s="1" t="s">
        <v>1354</v>
      </c>
      <c r="G11" s="1" t="s">
        <v>741</v>
      </c>
      <c r="H11" s="1" t="s">
        <v>727</v>
      </c>
      <c r="I11" s="1" t="s">
        <v>1353</v>
      </c>
      <c r="J11" s="4">
        <v>45863</v>
      </c>
      <c r="K11" s="2">
        <v>45865.374305555553</v>
      </c>
      <c r="L11" s="2">
        <v>45865.374305555553</v>
      </c>
      <c r="M11" s="1" t="s">
        <v>1355</v>
      </c>
    </row>
    <row r="12" spans="1:13" x14ac:dyDescent="0.3">
      <c r="A12" s="1">
        <v>2025</v>
      </c>
      <c r="B12" t="s">
        <v>714</v>
      </c>
      <c r="C12" s="1" t="s">
        <v>726</v>
      </c>
      <c r="D12" s="1" t="s">
        <v>994</v>
      </c>
      <c r="E12" s="1" t="s">
        <v>1433</v>
      </c>
      <c r="F12" s="1" t="s">
        <v>1477</v>
      </c>
      <c r="G12" s="1" t="s">
        <v>1432</v>
      </c>
      <c r="H12" s="1" t="s">
        <v>727</v>
      </c>
      <c r="I12" s="1" t="s">
        <v>1476</v>
      </c>
      <c r="J12" s="4">
        <v>45762</v>
      </c>
      <c r="K12" s="2">
        <v>45865.394490740742</v>
      </c>
      <c r="L12" s="2">
        <v>45865.394490740742</v>
      </c>
      <c r="M12" s="1" t="s">
        <v>1478</v>
      </c>
    </row>
    <row r="13" spans="1:13" x14ac:dyDescent="0.3">
      <c r="A13" s="1">
        <v>2024</v>
      </c>
      <c r="B13" t="s">
        <v>714</v>
      </c>
      <c r="C13" s="1" t="s">
        <v>755</v>
      </c>
      <c r="D13" s="1" t="s">
        <v>1261</v>
      </c>
      <c r="E13" s="1" t="s">
        <v>1263</v>
      </c>
      <c r="F13" s="1" t="s">
        <v>760</v>
      </c>
      <c r="G13" s="1" t="s">
        <v>1262</v>
      </c>
      <c r="H13" s="1" t="s">
        <v>758</v>
      </c>
      <c r="I13" s="1" t="s">
        <v>759</v>
      </c>
      <c r="J13" s="4">
        <v>43959</v>
      </c>
      <c r="K13" s="2">
        <v>45865.384814814817</v>
      </c>
      <c r="L13" s="2">
        <v>45865.384814814817</v>
      </c>
      <c r="M13" s="1" t="s">
        <v>761</v>
      </c>
    </row>
    <row r="14" spans="1:13" x14ac:dyDescent="0.3">
      <c r="A14" s="1">
        <v>2025</v>
      </c>
      <c r="B14" t="s">
        <v>714</v>
      </c>
      <c r="C14" s="1" t="s">
        <v>755</v>
      </c>
      <c r="D14" s="1" t="s">
        <v>1396</v>
      </c>
      <c r="E14" s="1" t="s">
        <v>1398</v>
      </c>
      <c r="F14" s="1" t="s">
        <v>768</v>
      </c>
      <c r="G14" s="1" t="s">
        <v>1397</v>
      </c>
      <c r="H14" s="1" t="s">
        <v>758</v>
      </c>
      <c r="I14" s="1" t="s">
        <v>767</v>
      </c>
      <c r="J14" s="4">
        <v>44144</v>
      </c>
      <c r="K14" s="2">
        <v>45865.384814814817</v>
      </c>
      <c r="L14" s="2">
        <v>45865.384814814817</v>
      </c>
      <c r="M14" s="1" t="s">
        <v>769</v>
      </c>
    </row>
    <row r="15" spans="1:13" x14ac:dyDescent="0.3">
      <c r="A15" s="1">
        <v>2022</v>
      </c>
      <c r="B15" t="s">
        <v>714</v>
      </c>
      <c r="C15" s="1" t="s">
        <v>755</v>
      </c>
      <c r="D15" s="1" t="s">
        <v>755</v>
      </c>
      <c r="E15" s="1" t="s">
        <v>906</v>
      </c>
      <c r="F15" s="1" t="s">
        <v>876</v>
      </c>
      <c r="G15" s="1" t="s">
        <v>905</v>
      </c>
      <c r="H15" s="1" t="s">
        <v>758</v>
      </c>
      <c r="I15" s="1" t="s">
        <v>875</v>
      </c>
      <c r="J15" s="4">
        <v>44731</v>
      </c>
      <c r="K15" s="2">
        <v>45865.374305555553</v>
      </c>
      <c r="L15" s="2">
        <v>45865.374305555553</v>
      </c>
      <c r="M15" s="1" t="s">
        <v>877</v>
      </c>
    </row>
    <row r="16" spans="1:13" x14ac:dyDescent="0.3">
      <c r="A16" s="1">
        <v>2024</v>
      </c>
      <c r="B16" t="s">
        <v>714</v>
      </c>
      <c r="C16" s="1" t="s">
        <v>755</v>
      </c>
      <c r="D16" s="1" t="s">
        <v>715</v>
      </c>
      <c r="E16" s="1" t="s">
        <v>1019</v>
      </c>
      <c r="F16" s="1" t="s">
        <v>1013</v>
      </c>
      <c r="G16" s="1" t="s">
        <v>1018</v>
      </c>
      <c r="H16" s="1" t="s">
        <v>758</v>
      </c>
      <c r="I16" s="1" t="s">
        <v>1012</v>
      </c>
      <c r="J16" s="4">
        <v>45261</v>
      </c>
      <c r="K16" s="2">
        <v>45865.395335648151</v>
      </c>
      <c r="L16" s="2">
        <v>45865.395335648151</v>
      </c>
      <c r="M16" s="1" t="s">
        <v>1014</v>
      </c>
    </row>
    <row r="17" spans="1:13" x14ac:dyDescent="0.3">
      <c r="A17" s="1">
        <v>2024</v>
      </c>
      <c r="B17" t="s">
        <v>714</v>
      </c>
      <c r="C17" s="1" t="s">
        <v>755</v>
      </c>
      <c r="D17" s="1" t="s">
        <v>715</v>
      </c>
      <c r="E17" s="1" t="s">
        <v>1025</v>
      </c>
      <c r="F17" s="1" t="s">
        <v>1016</v>
      </c>
      <c r="G17" s="1" t="s">
        <v>1024</v>
      </c>
      <c r="H17" s="1" t="s">
        <v>758</v>
      </c>
      <c r="I17" s="1" t="s">
        <v>1015</v>
      </c>
      <c r="J17" s="4">
        <v>45261</v>
      </c>
      <c r="K17" s="2">
        <v>45865.395335648151</v>
      </c>
      <c r="L17" s="2">
        <v>45865.395335648151</v>
      </c>
      <c r="M17" s="1" t="s">
        <v>1017</v>
      </c>
    </row>
    <row r="18" spans="1:13" x14ac:dyDescent="0.3">
      <c r="A18" s="1">
        <v>2025</v>
      </c>
      <c r="B18" t="s">
        <v>714</v>
      </c>
      <c r="C18" s="1" t="s">
        <v>755</v>
      </c>
      <c r="D18" s="1" t="s">
        <v>715</v>
      </c>
      <c r="E18" s="1" t="s">
        <v>1371</v>
      </c>
      <c r="F18" s="1" t="s">
        <v>1254</v>
      </c>
      <c r="G18" s="1" t="s">
        <v>1370</v>
      </c>
      <c r="H18" s="1" t="s">
        <v>758</v>
      </c>
      <c r="I18" s="1" t="s">
        <v>1253</v>
      </c>
      <c r="J18" s="4">
        <v>45352</v>
      </c>
      <c r="K18" s="2">
        <v>45865.38480324074</v>
      </c>
      <c r="L18" s="2">
        <v>45865.38480324074</v>
      </c>
      <c r="M18" s="1" t="s">
        <v>1255</v>
      </c>
    </row>
    <row r="19" spans="1:13" x14ac:dyDescent="0.3">
      <c r="A19" s="1">
        <v>2021</v>
      </c>
      <c r="B19" t="s">
        <v>714</v>
      </c>
      <c r="C19" s="1" t="s">
        <v>755</v>
      </c>
      <c r="D19" s="1" t="s">
        <v>737</v>
      </c>
      <c r="E19" s="1" t="s">
        <v>812</v>
      </c>
      <c r="F19" s="1" t="s">
        <v>1318</v>
      </c>
      <c r="G19" s="1" t="s">
        <v>811</v>
      </c>
      <c r="H19" s="1" t="s">
        <v>758</v>
      </c>
      <c r="I19" s="1" t="s">
        <v>1317</v>
      </c>
      <c r="J19" s="4">
        <v>45444</v>
      </c>
      <c r="K19" s="2">
        <v>45865.394502314812</v>
      </c>
      <c r="L19" s="2">
        <v>45865.394502314812</v>
      </c>
      <c r="M19" s="1" t="s">
        <v>1319</v>
      </c>
    </row>
    <row r="20" spans="1:13" x14ac:dyDescent="0.3">
      <c r="A20" s="1">
        <v>2021</v>
      </c>
      <c r="B20" t="s">
        <v>714</v>
      </c>
      <c r="C20" s="1" t="s">
        <v>755</v>
      </c>
      <c r="D20" s="1" t="s">
        <v>730</v>
      </c>
      <c r="E20" s="1" t="s">
        <v>838</v>
      </c>
      <c r="F20" s="1" t="s">
        <v>1419</v>
      </c>
      <c r="G20" s="1" t="s">
        <v>837</v>
      </c>
      <c r="H20" s="1" t="s">
        <v>758</v>
      </c>
      <c r="I20" s="1" t="s">
        <v>1418</v>
      </c>
      <c r="J20" s="4">
        <v>45717</v>
      </c>
      <c r="K20" s="2">
        <v>45865.374305555553</v>
      </c>
      <c r="L20" s="2">
        <v>45865.374305555553</v>
      </c>
      <c r="M20" s="1" t="s">
        <v>1420</v>
      </c>
    </row>
    <row r="21" spans="1:13" x14ac:dyDescent="0.3">
      <c r="A21" s="1">
        <v>2024</v>
      </c>
      <c r="B21" t="s">
        <v>714</v>
      </c>
      <c r="C21" s="1" t="s">
        <v>722</v>
      </c>
      <c r="D21" s="1" t="s">
        <v>751</v>
      </c>
      <c r="E21" s="1" t="s">
        <v>1204</v>
      </c>
      <c r="F21" s="1" t="s">
        <v>817</v>
      </c>
      <c r="G21" s="1" t="s">
        <v>1203</v>
      </c>
      <c r="H21" s="1" t="s">
        <v>723</v>
      </c>
      <c r="I21" s="1" t="s">
        <v>816</v>
      </c>
      <c r="J21" s="4">
        <v>44256</v>
      </c>
      <c r="K21" s="2">
        <v>45865.38480324074</v>
      </c>
      <c r="L21" s="2">
        <v>45865.38480324074</v>
      </c>
      <c r="M21" s="1" t="s">
        <v>818</v>
      </c>
    </row>
    <row r="22" spans="1:13" x14ac:dyDescent="0.3">
      <c r="A22" s="1">
        <v>2023</v>
      </c>
      <c r="B22" t="s">
        <v>714</v>
      </c>
      <c r="C22" s="1" t="s">
        <v>722</v>
      </c>
      <c r="D22" s="1" t="s">
        <v>715</v>
      </c>
      <c r="E22" s="1" t="s">
        <v>955</v>
      </c>
      <c r="F22" s="1" t="s">
        <v>1005</v>
      </c>
      <c r="G22" s="1" t="s">
        <v>954</v>
      </c>
      <c r="H22" s="1" t="s">
        <v>723</v>
      </c>
      <c r="I22" s="1" t="s">
        <v>1004</v>
      </c>
      <c r="J22" s="4">
        <v>45170</v>
      </c>
      <c r="K22" s="2">
        <v>45865.394502314812</v>
      </c>
      <c r="L22" s="2">
        <v>45865.394502314812</v>
      </c>
      <c r="M22" s="1" t="s">
        <v>1006</v>
      </c>
    </row>
    <row r="23" spans="1:13" x14ac:dyDescent="0.3">
      <c r="A23" s="1">
        <v>2023</v>
      </c>
      <c r="B23" t="s">
        <v>714</v>
      </c>
      <c r="C23" s="1" t="s">
        <v>722</v>
      </c>
      <c r="D23" s="1" t="s">
        <v>724</v>
      </c>
      <c r="E23" s="1" t="s">
        <v>997</v>
      </c>
      <c r="F23" s="1" t="s">
        <v>1378</v>
      </c>
      <c r="G23" s="1" t="s">
        <v>996</v>
      </c>
      <c r="H23" s="1" t="s">
        <v>723</v>
      </c>
      <c r="I23" s="1" t="s">
        <v>1377</v>
      </c>
      <c r="J23" s="4">
        <v>45717</v>
      </c>
      <c r="K23" s="2">
        <v>45865.374305555553</v>
      </c>
      <c r="L23" s="2">
        <v>45865.374305555553</v>
      </c>
      <c r="M23" s="1" t="s">
        <v>1379</v>
      </c>
    </row>
    <row r="24" spans="1:13" x14ac:dyDescent="0.3">
      <c r="A24" s="1">
        <v>2023</v>
      </c>
      <c r="B24" t="s">
        <v>714</v>
      </c>
      <c r="C24" s="1" t="s">
        <v>880</v>
      </c>
      <c r="D24" s="1" t="s">
        <v>715</v>
      </c>
      <c r="E24" s="1" t="s">
        <v>931</v>
      </c>
      <c r="F24" s="1" t="s">
        <v>999</v>
      </c>
      <c r="G24" s="1" t="s">
        <v>930</v>
      </c>
      <c r="H24" s="1" t="s">
        <v>881</v>
      </c>
      <c r="I24" s="1" t="s">
        <v>998</v>
      </c>
      <c r="J24" s="4">
        <v>44927</v>
      </c>
      <c r="K24" s="2">
        <v>45865.394490740742</v>
      </c>
      <c r="L24" s="2">
        <v>45865.394490740742</v>
      </c>
      <c r="M24" s="1" t="s">
        <v>1000</v>
      </c>
    </row>
    <row r="25" spans="1:13" x14ac:dyDescent="0.3">
      <c r="A25" s="1">
        <v>2024</v>
      </c>
      <c r="B25" t="s">
        <v>714</v>
      </c>
      <c r="C25" s="1" t="s">
        <v>880</v>
      </c>
      <c r="D25" s="1" t="s">
        <v>715</v>
      </c>
      <c r="E25" s="1" t="s">
        <v>1276</v>
      </c>
      <c r="F25" s="1" t="s">
        <v>1181</v>
      </c>
      <c r="G25" s="1" t="s">
        <v>1275</v>
      </c>
      <c r="H25" s="1" t="s">
        <v>881</v>
      </c>
      <c r="I25" s="1" t="s">
        <v>1180</v>
      </c>
      <c r="J25" s="4">
        <v>45627</v>
      </c>
      <c r="K25" s="2">
        <v>45865.374305555553</v>
      </c>
      <c r="L25" s="2">
        <v>45865.374305555553</v>
      </c>
      <c r="M25" s="1" t="s">
        <v>1182</v>
      </c>
    </row>
    <row r="26" spans="1:13" x14ac:dyDescent="0.3">
      <c r="A26" s="1">
        <v>2022</v>
      </c>
      <c r="B26" t="s">
        <v>714</v>
      </c>
      <c r="C26" s="1" t="s">
        <v>880</v>
      </c>
      <c r="D26" s="1" t="s">
        <v>884</v>
      </c>
      <c r="E26" s="1" t="s">
        <v>886</v>
      </c>
      <c r="F26" s="1" t="s">
        <v>1304</v>
      </c>
      <c r="G26" s="1" t="s">
        <v>885</v>
      </c>
      <c r="H26" s="1" t="s">
        <v>881</v>
      </c>
      <c r="I26" s="1" t="s">
        <v>1303</v>
      </c>
      <c r="J26" s="4">
        <v>45413</v>
      </c>
      <c r="K26" s="2">
        <v>45865.394490740742</v>
      </c>
      <c r="L26" s="2">
        <v>45865.394490740742</v>
      </c>
      <c r="M26" s="1" t="s">
        <v>1305</v>
      </c>
    </row>
    <row r="27" spans="1:13" x14ac:dyDescent="0.3">
      <c r="A27" s="1">
        <v>2024</v>
      </c>
      <c r="B27" t="s">
        <v>714</v>
      </c>
      <c r="C27" s="1" t="s">
        <v>880</v>
      </c>
      <c r="D27" s="1" t="s">
        <v>764</v>
      </c>
      <c r="E27" s="1" t="s">
        <v>1152</v>
      </c>
      <c r="F27" s="1" t="s">
        <v>1332</v>
      </c>
      <c r="G27" s="1" t="s">
        <v>1151</v>
      </c>
      <c r="H27" s="1" t="s">
        <v>881</v>
      </c>
      <c r="I27" s="1" t="s">
        <v>1331</v>
      </c>
      <c r="J27" s="4">
        <v>45627</v>
      </c>
      <c r="K27" s="2">
        <v>45865.395324074074</v>
      </c>
      <c r="L27" s="2">
        <v>45865.395324074074</v>
      </c>
      <c r="M27" s="1" t="s">
        <v>1333</v>
      </c>
    </row>
    <row r="28" spans="1:13" x14ac:dyDescent="0.3">
      <c r="A28" s="1">
        <v>2024</v>
      </c>
      <c r="B28" t="s">
        <v>714</v>
      </c>
      <c r="C28" s="1" t="s">
        <v>880</v>
      </c>
      <c r="D28" s="1" t="s">
        <v>724</v>
      </c>
      <c r="E28" s="1" t="s">
        <v>1199</v>
      </c>
      <c r="F28" s="1" t="s">
        <v>1391</v>
      </c>
      <c r="G28" s="1" t="s">
        <v>1198</v>
      </c>
      <c r="H28" s="1" t="s">
        <v>881</v>
      </c>
      <c r="I28" s="1" t="s">
        <v>1390</v>
      </c>
      <c r="J28" s="4">
        <v>45778</v>
      </c>
      <c r="K28" s="2">
        <v>45865.374305555553</v>
      </c>
      <c r="L28" s="2">
        <v>45865.374305555553</v>
      </c>
      <c r="M28" s="1" t="s">
        <v>1392</v>
      </c>
    </row>
    <row r="29" spans="1:13" x14ac:dyDescent="0.3">
      <c r="A29" s="1">
        <v>2021</v>
      </c>
      <c r="B29" t="s">
        <v>714</v>
      </c>
      <c r="C29" s="1" t="s">
        <v>1411</v>
      </c>
      <c r="D29" s="1" t="s">
        <v>730</v>
      </c>
      <c r="E29" s="1" t="s">
        <v>833</v>
      </c>
      <c r="F29" s="1" t="s">
        <v>1414</v>
      </c>
      <c r="G29" s="1" t="s">
        <v>832</v>
      </c>
      <c r="H29" s="1" t="s">
        <v>1412</v>
      </c>
      <c r="I29" s="1" t="s">
        <v>1413</v>
      </c>
      <c r="J29" s="4">
        <v>45717</v>
      </c>
      <c r="K29" s="2">
        <v>45865.374305555553</v>
      </c>
      <c r="L29" s="2">
        <v>45865.374305555553</v>
      </c>
      <c r="M29" s="1" t="s">
        <v>1415</v>
      </c>
    </row>
    <row r="30" spans="1:13" x14ac:dyDescent="0.3">
      <c r="A30" s="1">
        <v>2024</v>
      </c>
      <c r="B30" t="s">
        <v>714</v>
      </c>
      <c r="C30" s="1" t="s">
        <v>910</v>
      </c>
      <c r="D30" s="1" t="s">
        <v>724</v>
      </c>
      <c r="E30" s="1" t="s">
        <v>1174</v>
      </c>
      <c r="F30" s="1" t="s">
        <v>1386</v>
      </c>
      <c r="G30" s="1" t="s">
        <v>1173</v>
      </c>
      <c r="H30" s="1" t="s">
        <v>911</v>
      </c>
      <c r="I30" s="1" t="s">
        <v>1385</v>
      </c>
      <c r="J30" s="4">
        <v>45796</v>
      </c>
      <c r="K30" s="2">
        <v>45865.374305555553</v>
      </c>
      <c r="L30" s="2">
        <v>45865.374305555553</v>
      </c>
      <c r="M30" s="1" t="s">
        <v>1387</v>
      </c>
    </row>
    <row r="31" spans="1:13" x14ac:dyDescent="0.3">
      <c r="A31" s="1">
        <v>2025</v>
      </c>
      <c r="B31" t="s">
        <v>714</v>
      </c>
      <c r="C31" s="1" t="s">
        <v>783</v>
      </c>
      <c r="D31" s="1" t="s">
        <v>770</v>
      </c>
      <c r="E31" s="1" t="s">
        <v>1404</v>
      </c>
      <c r="F31" s="1" t="s">
        <v>788</v>
      </c>
      <c r="G31" s="1" t="s">
        <v>1403</v>
      </c>
      <c r="H31" s="1" t="s">
        <v>786</v>
      </c>
      <c r="I31" s="1" t="s">
        <v>787</v>
      </c>
      <c r="J31" s="4">
        <v>43952</v>
      </c>
      <c r="K31" s="2">
        <v>45865.395324074074</v>
      </c>
      <c r="L31" s="2">
        <v>45865.395324074074</v>
      </c>
      <c r="M31" s="1" t="s">
        <v>789</v>
      </c>
    </row>
    <row r="32" spans="1:13" x14ac:dyDescent="0.3">
      <c r="A32" s="1">
        <v>2024</v>
      </c>
      <c r="B32" t="s">
        <v>714</v>
      </c>
      <c r="C32" s="1" t="s">
        <v>1010</v>
      </c>
      <c r="D32" s="1" t="s">
        <v>715</v>
      </c>
      <c r="E32" s="1" t="s">
        <v>1239</v>
      </c>
      <c r="F32" s="1" t="s">
        <v>1159</v>
      </c>
      <c r="G32" s="1" t="s">
        <v>1238</v>
      </c>
      <c r="H32" s="1" t="s">
        <v>1011</v>
      </c>
      <c r="I32" s="1" t="s">
        <v>1158</v>
      </c>
      <c r="J32" s="4">
        <v>45536</v>
      </c>
      <c r="K32" s="2">
        <v>45865.374305555553</v>
      </c>
      <c r="L32" s="2">
        <v>45865.374305555553</v>
      </c>
      <c r="M32" s="1" t="s">
        <v>1160</v>
      </c>
    </row>
    <row r="33" spans="1:13" x14ac:dyDescent="0.3">
      <c r="A33" s="1">
        <v>2022</v>
      </c>
      <c r="B33" t="s">
        <v>714</v>
      </c>
      <c r="C33" s="1" t="s">
        <v>827</v>
      </c>
      <c r="D33" s="1" t="s">
        <v>922</v>
      </c>
      <c r="E33" s="1" t="s">
        <v>924</v>
      </c>
      <c r="F33" s="1" t="s">
        <v>830</v>
      </c>
      <c r="G33" s="1" t="s">
        <v>923</v>
      </c>
      <c r="H33" s="1" t="s">
        <v>828</v>
      </c>
      <c r="I33" s="1" t="s">
        <v>829</v>
      </c>
      <c r="J33" s="4">
        <v>44256</v>
      </c>
      <c r="K33" s="2">
        <v>45865.394490740742</v>
      </c>
      <c r="L33" s="2">
        <v>45865.394490740742</v>
      </c>
      <c r="M33" s="1" t="s">
        <v>831</v>
      </c>
    </row>
    <row r="34" spans="1:13" x14ac:dyDescent="0.3">
      <c r="A34" s="1">
        <v>2022</v>
      </c>
      <c r="B34" t="s">
        <v>714</v>
      </c>
      <c r="C34" s="1" t="s">
        <v>1437</v>
      </c>
      <c r="D34" s="1" t="s">
        <v>730</v>
      </c>
      <c r="E34" s="1" t="s">
        <v>916</v>
      </c>
      <c r="F34" s="1" t="s">
        <v>1442</v>
      </c>
      <c r="G34" s="1" t="s">
        <v>915</v>
      </c>
      <c r="H34" s="1" t="s">
        <v>1440</v>
      </c>
      <c r="I34" s="1" t="s">
        <v>1441</v>
      </c>
      <c r="J34" s="4">
        <v>45884</v>
      </c>
      <c r="K34" s="2">
        <v>45865.374305555553</v>
      </c>
      <c r="L34" s="2">
        <v>45865.374305555553</v>
      </c>
      <c r="M34" s="1" t="s">
        <v>1443</v>
      </c>
    </row>
    <row r="35" spans="1:13" x14ac:dyDescent="0.3">
      <c r="A35" s="1">
        <v>2022</v>
      </c>
      <c r="B35" t="s">
        <v>714</v>
      </c>
      <c r="C35" s="1" t="s">
        <v>1277</v>
      </c>
      <c r="D35" s="1" t="s">
        <v>866</v>
      </c>
      <c r="E35" s="1" t="s">
        <v>868</v>
      </c>
      <c r="F35" s="1" t="s">
        <v>1280</v>
      </c>
      <c r="G35" s="1" t="s">
        <v>867</v>
      </c>
      <c r="H35" s="1" t="s">
        <v>1278</v>
      </c>
      <c r="I35" s="1" t="s">
        <v>1279</v>
      </c>
      <c r="J35" s="4">
        <v>45292</v>
      </c>
      <c r="K35" s="2">
        <v>45865.38480324074</v>
      </c>
      <c r="L35" s="2">
        <v>45865.38480324074</v>
      </c>
      <c r="M35" s="1" t="s">
        <v>1281</v>
      </c>
    </row>
    <row r="36" spans="1:13" x14ac:dyDescent="0.3">
      <c r="A36" s="1">
        <v>2022</v>
      </c>
      <c r="B36" t="s">
        <v>714</v>
      </c>
      <c r="C36" s="1" t="s">
        <v>715</v>
      </c>
      <c r="D36" s="1" t="s">
        <v>912</v>
      </c>
      <c r="E36" s="1" t="s">
        <v>914</v>
      </c>
      <c r="F36" s="1" t="s">
        <v>720</v>
      </c>
      <c r="G36" s="1" t="s">
        <v>913</v>
      </c>
      <c r="H36" s="1" t="s">
        <v>718</v>
      </c>
      <c r="I36" s="1" t="s">
        <v>719</v>
      </c>
      <c r="J36" s="4">
        <v>44075</v>
      </c>
      <c r="K36" s="2">
        <v>45865.374305555553</v>
      </c>
      <c r="L36" s="2">
        <v>45865.374305555553</v>
      </c>
      <c r="M36" s="1" t="s">
        <v>721</v>
      </c>
    </row>
    <row r="37" spans="1:13" x14ac:dyDescent="0.3">
      <c r="A37" s="1">
        <v>2022</v>
      </c>
      <c r="B37" t="s">
        <v>714</v>
      </c>
      <c r="C37" s="1" t="s">
        <v>715</v>
      </c>
      <c r="D37" s="1" t="s">
        <v>855</v>
      </c>
      <c r="E37" s="1" t="s">
        <v>857</v>
      </c>
      <c r="F37" s="1" t="s">
        <v>749</v>
      </c>
      <c r="G37" s="1" t="s">
        <v>856</v>
      </c>
      <c r="H37" s="1" t="s">
        <v>718</v>
      </c>
      <c r="I37" s="1" t="s">
        <v>748</v>
      </c>
      <c r="J37" s="4">
        <v>43922</v>
      </c>
      <c r="K37" s="2">
        <v>45865.38480324074</v>
      </c>
      <c r="L37" s="2">
        <v>45865.38480324074</v>
      </c>
      <c r="M37" s="1" t="s">
        <v>750</v>
      </c>
    </row>
    <row r="38" spans="1:13" x14ac:dyDescent="0.3">
      <c r="A38" s="1">
        <v>2023</v>
      </c>
      <c r="B38" t="s">
        <v>714</v>
      </c>
      <c r="C38" s="1" t="s">
        <v>715</v>
      </c>
      <c r="D38" s="1" t="s">
        <v>770</v>
      </c>
      <c r="E38" s="1" t="s">
        <v>974</v>
      </c>
      <c r="F38" s="1" t="s">
        <v>776</v>
      </c>
      <c r="G38" s="1" t="s">
        <v>973</v>
      </c>
      <c r="H38" s="1" t="s">
        <v>718</v>
      </c>
      <c r="I38" s="1" t="s">
        <v>775</v>
      </c>
      <c r="J38" s="4">
        <v>44044</v>
      </c>
      <c r="K38" s="2">
        <v>45865.394502314812</v>
      </c>
      <c r="L38" s="2">
        <v>45865.394502314812</v>
      </c>
      <c r="M38" s="1" t="s">
        <v>777</v>
      </c>
    </row>
    <row r="39" spans="1:13" x14ac:dyDescent="0.3">
      <c r="A39" s="1">
        <v>2020</v>
      </c>
      <c r="B39" t="s">
        <v>714</v>
      </c>
      <c r="C39" s="1" t="s">
        <v>715</v>
      </c>
      <c r="D39" s="1" t="s">
        <v>751</v>
      </c>
      <c r="E39" s="1" t="s">
        <v>753</v>
      </c>
      <c r="F39" s="1" t="s">
        <v>797</v>
      </c>
      <c r="G39" s="1" t="s">
        <v>752</v>
      </c>
      <c r="H39" s="1" t="s">
        <v>718</v>
      </c>
      <c r="I39" s="1" t="s">
        <v>796</v>
      </c>
      <c r="J39" s="4">
        <v>44197</v>
      </c>
      <c r="K39" s="2">
        <v>45865.374305555553</v>
      </c>
      <c r="L39" s="2">
        <v>45865.374305555553</v>
      </c>
      <c r="M39" s="1" t="s">
        <v>798</v>
      </c>
    </row>
    <row r="40" spans="1:13" x14ac:dyDescent="0.3">
      <c r="A40" s="1">
        <v>2022</v>
      </c>
      <c r="B40" t="s">
        <v>714</v>
      </c>
      <c r="C40" s="1" t="s">
        <v>715</v>
      </c>
      <c r="D40" s="1" t="s">
        <v>751</v>
      </c>
      <c r="E40" s="1" t="s">
        <v>879</v>
      </c>
      <c r="F40" s="1" t="s">
        <v>809</v>
      </c>
      <c r="G40" s="1" t="s">
        <v>878</v>
      </c>
      <c r="H40" s="1" t="s">
        <v>718</v>
      </c>
      <c r="I40" s="1" t="s">
        <v>808</v>
      </c>
      <c r="J40" s="4">
        <v>44501</v>
      </c>
      <c r="K40" s="2">
        <v>45865.374305555553</v>
      </c>
      <c r="L40" s="2">
        <v>45865.374305555553</v>
      </c>
      <c r="M40" s="1" t="s">
        <v>810</v>
      </c>
    </row>
    <row r="41" spans="1:13" x14ac:dyDescent="0.3">
      <c r="A41" s="1">
        <v>2024</v>
      </c>
      <c r="B41" t="s">
        <v>714</v>
      </c>
      <c r="C41" s="1" t="s">
        <v>715</v>
      </c>
      <c r="D41" s="1" t="s">
        <v>1246</v>
      </c>
      <c r="E41" s="1" t="s">
        <v>1248</v>
      </c>
      <c r="F41" s="1" t="s">
        <v>820</v>
      </c>
      <c r="G41" s="1" t="s">
        <v>1247</v>
      </c>
      <c r="H41" s="1" t="s">
        <v>718</v>
      </c>
      <c r="I41" s="1" t="s">
        <v>819</v>
      </c>
      <c r="J41" s="4">
        <v>44501</v>
      </c>
      <c r="K41" s="2">
        <v>45865.38480324074</v>
      </c>
      <c r="L41" s="2">
        <v>45865.38480324074</v>
      </c>
      <c r="M41" s="1" t="s">
        <v>821</v>
      </c>
    </row>
    <row r="42" spans="1:13" x14ac:dyDescent="0.3">
      <c r="A42" s="1">
        <v>2024</v>
      </c>
      <c r="B42" t="s">
        <v>714</v>
      </c>
      <c r="C42" s="1" t="s">
        <v>715</v>
      </c>
      <c r="D42" s="1" t="s">
        <v>1246</v>
      </c>
      <c r="E42" s="1" t="s">
        <v>1272</v>
      </c>
      <c r="F42" s="1" t="s">
        <v>825</v>
      </c>
      <c r="G42" s="1" t="s">
        <v>1271</v>
      </c>
      <c r="H42" s="1" t="s">
        <v>718</v>
      </c>
      <c r="I42" s="1" t="s">
        <v>824</v>
      </c>
      <c r="J42" s="4">
        <v>44197</v>
      </c>
      <c r="K42" s="2">
        <v>45865.38480324074</v>
      </c>
      <c r="L42" s="2">
        <v>45865.38480324074</v>
      </c>
      <c r="M42" s="1" t="s">
        <v>826</v>
      </c>
    </row>
    <row r="43" spans="1:13" x14ac:dyDescent="0.3">
      <c r="A43" s="1">
        <v>2024</v>
      </c>
      <c r="B43" t="s">
        <v>714</v>
      </c>
      <c r="C43" s="1" t="s">
        <v>715</v>
      </c>
      <c r="D43" s="1" t="s">
        <v>1334</v>
      </c>
      <c r="E43" s="1" t="s">
        <v>1336</v>
      </c>
      <c r="F43" s="1" t="s">
        <v>903</v>
      </c>
      <c r="G43" s="1" t="s">
        <v>1335</v>
      </c>
      <c r="H43" s="1" t="s">
        <v>718</v>
      </c>
      <c r="I43" s="1" t="s">
        <v>902</v>
      </c>
      <c r="J43" s="4">
        <v>44835</v>
      </c>
      <c r="K43" s="2">
        <v>45865.384814814817</v>
      </c>
      <c r="L43" s="2">
        <v>45865.384814814817</v>
      </c>
      <c r="M43" s="1" t="s">
        <v>904</v>
      </c>
    </row>
    <row r="44" spans="1:13" x14ac:dyDescent="0.3">
      <c r="A44" s="1">
        <v>2025</v>
      </c>
      <c r="B44" t="s">
        <v>714</v>
      </c>
      <c r="C44" s="1" t="s">
        <v>715</v>
      </c>
      <c r="D44" s="1" t="s">
        <v>910</v>
      </c>
      <c r="E44" s="1" t="s">
        <v>1480</v>
      </c>
      <c r="F44" s="1" t="s">
        <v>933</v>
      </c>
      <c r="G44" s="1" t="s">
        <v>1479</v>
      </c>
      <c r="H44" s="1" t="s">
        <v>718</v>
      </c>
      <c r="I44" s="1" t="s">
        <v>932</v>
      </c>
      <c r="J44" s="4">
        <v>45078</v>
      </c>
      <c r="K44" s="2">
        <v>45865.374305555553</v>
      </c>
      <c r="L44" s="2">
        <v>45865.374305555553</v>
      </c>
      <c r="M44" s="1" t="s">
        <v>934</v>
      </c>
    </row>
    <row r="45" spans="1:13" x14ac:dyDescent="0.3">
      <c r="A45" s="1">
        <v>2025</v>
      </c>
      <c r="B45" t="s">
        <v>714</v>
      </c>
      <c r="C45" s="1" t="s">
        <v>715</v>
      </c>
      <c r="D45" s="1" t="s">
        <v>1408</v>
      </c>
      <c r="E45" s="1" t="s">
        <v>1410</v>
      </c>
      <c r="F45" s="1" t="s">
        <v>943</v>
      </c>
      <c r="G45" s="1" t="s">
        <v>1409</v>
      </c>
      <c r="H45" s="1" t="s">
        <v>718</v>
      </c>
      <c r="I45" s="1" t="s">
        <v>942</v>
      </c>
      <c r="J45" s="4">
        <v>44986</v>
      </c>
      <c r="K45" s="2">
        <v>45865.374305555553</v>
      </c>
      <c r="L45" s="2">
        <v>45865.374305555553</v>
      </c>
      <c r="M45" s="1" t="s">
        <v>944</v>
      </c>
    </row>
    <row r="46" spans="1:13" x14ac:dyDescent="0.3">
      <c r="A46" s="1">
        <v>2024</v>
      </c>
      <c r="B46" t="s">
        <v>714</v>
      </c>
      <c r="C46" s="1" t="s">
        <v>715</v>
      </c>
      <c r="D46" s="1" t="s">
        <v>1010</v>
      </c>
      <c r="E46" s="1" t="s">
        <v>1157</v>
      </c>
      <c r="F46" s="1" t="s">
        <v>957</v>
      </c>
      <c r="G46" s="1" t="s">
        <v>1156</v>
      </c>
      <c r="H46" s="1" t="s">
        <v>718</v>
      </c>
      <c r="I46" s="1" t="s">
        <v>956</v>
      </c>
      <c r="J46" s="4">
        <v>44958</v>
      </c>
      <c r="K46" s="2">
        <v>45865.374305555553</v>
      </c>
      <c r="L46" s="2">
        <v>45865.374305555553</v>
      </c>
      <c r="M46" s="1" t="s">
        <v>958</v>
      </c>
    </row>
    <row r="47" spans="1:13" x14ac:dyDescent="0.3">
      <c r="A47" s="1">
        <v>2025</v>
      </c>
      <c r="B47" t="s">
        <v>714</v>
      </c>
      <c r="C47" s="1" t="s">
        <v>715</v>
      </c>
      <c r="D47" s="1" t="s">
        <v>1437</v>
      </c>
      <c r="E47" s="1" t="s">
        <v>1439</v>
      </c>
      <c r="F47" s="1" t="s">
        <v>962</v>
      </c>
      <c r="G47" s="1" t="s">
        <v>1438</v>
      </c>
      <c r="H47" s="1" t="s">
        <v>718</v>
      </c>
      <c r="I47" s="1" t="s">
        <v>961</v>
      </c>
      <c r="J47" s="4">
        <v>45108</v>
      </c>
      <c r="K47" s="2">
        <v>45865.374305555553</v>
      </c>
      <c r="L47" s="2">
        <v>45865.374305555553</v>
      </c>
      <c r="M47" s="1" t="s">
        <v>964</v>
      </c>
    </row>
    <row r="48" spans="1:13" x14ac:dyDescent="0.3">
      <c r="A48" s="1">
        <v>2020</v>
      </c>
      <c r="B48" t="s">
        <v>714</v>
      </c>
      <c r="C48" s="1" t="s">
        <v>715</v>
      </c>
      <c r="D48" s="1" t="s">
        <v>715</v>
      </c>
      <c r="E48" s="1" t="s">
        <v>717</v>
      </c>
      <c r="F48" s="1" t="s">
        <v>976</v>
      </c>
      <c r="G48" s="1" t="s">
        <v>716</v>
      </c>
      <c r="H48" s="1" t="s">
        <v>718</v>
      </c>
      <c r="I48" s="1" t="s">
        <v>975</v>
      </c>
      <c r="J48" s="4">
        <v>45017</v>
      </c>
      <c r="K48" s="2">
        <v>45865.38480324074</v>
      </c>
      <c r="L48" s="2">
        <v>45865.38480324074</v>
      </c>
      <c r="M48" s="1" t="s">
        <v>977</v>
      </c>
    </row>
    <row r="49" spans="1:13" x14ac:dyDescent="0.3">
      <c r="A49" s="1">
        <v>2023</v>
      </c>
      <c r="B49" t="s">
        <v>714</v>
      </c>
      <c r="C49" s="1" t="s">
        <v>715</v>
      </c>
      <c r="D49" s="1" t="s">
        <v>715</v>
      </c>
      <c r="E49" s="1" t="s">
        <v>941</v>
      </c>
      <c r="F49" s="1" t="s">
        <v>1002</v>
      </c>
      <c r="G49" s="1" t="s">
        <v>940</v>
      </c>
      <c r="H49" s="1" t="s">
        <v>718</v>
      </c>
      <c r="I49" s="1" t="s">
        <v>1001</v>
      </c>
      <c r="J49" s="4">
        <v>45261</v>
      </c>
      <c r="K49" s="2">
        <v>45865.394502314812</v>
      </c>
      <c r="L49" s="2">
        <v>45865.394502314812</v>
      </c>
      <c r="M49" s="1" t="s">
        <v>1003</v>
      </c>
    </row>
    <row r="50" spans="1:13" x14ac:dyDescent="0.3">
      <c r="A50" s="1">
        <v>2023</v>
      </c>
      <c r="B50" t="s">
        <v>714</v>
      </c>
      <c r="C50" s="1" t="s">
        <v>715</v>
      </c>
      <c r="D50" s="1" t="s">
        <v>715</v>
      </c>
      <c r="E50" s="1" t="s">
        <v>960</v>
      </c>
      <c r="F50" s="1" t="s">
        <v>1008</v>
      </c>
      <c r="G50" s="1" t="s">
        <v>959</v>
      </c>
      <c r="H50" s="1" t="s">
        <v>718</v>
      </c>
      <c r="I50" s="1" t="s">
        <v>1007</v>
      </c>
      <c r="J50" s="4">
        <v>45231</v>
      </c>
      <c r="K50" s="2">
        <v>45865.394502314812</v>
      </c>
      <c r="L50" s="2">
        <v>45865.394502314812</v>
      </c>
      <c r="M50" s="1" t="s">
        <v>1009</v>
      </c>
    </row>
    <row r="51" spans="1:13" x14ac:dyDescent="0.3">
      <c r="A51" s="1">
        <v>2024</v>
      </c>
      <c r="B51" t="s">
        <v>714</v>
      </c>
      <c r="C51" s="1" t="s">
        <v>715</v>
      </c>
      <c r="D51" s="1" t="s">
        <v>715</v>
      </c>
      <c r="E51" s="1" t="s">
        <v>1030</v>
      </c>
      <c r="F51" s="1" t="s">
        <v>1021</v>
      </c>
      <c r="G51" s="1" t="s">
        <v>1029</v>
      </c>
      <c r="H51" s="1" t="s">
        <v>718</v>
      </c>
      <c r="I51" s="1" t="s">
        <v>1020</v>
      </c>
      <c r="J51" s="4">
        <v>45413</v>
      </c>
      <c r="K51" s="2">
        <v>45865.374305555553</v>
      </c>
      <c r="L51" s="2">
        <v>45865.374305555553</v>
      </c>
      <c r="M51" s="1" t="s">
        <v>1023</v>
      </c>
    </row>
    <row r="52" spans="1:13" x14ac:dyDescent="0.3">
      <c r="A52" s="1">
        <v>2024</v>
      </c>
      <c r="B52" t="s">
        <v>714</v>
      </c>
      <c r="C52" s="1" t="s">
        <v>715</v>
      </c>
      <c r="D52" s="1" t="s">
        <v>715</v>
      </c>
      <c r="E52" s="1" t="s">
        <v>1040</v>
      </c>
      <c r="F52" s="1" t="s">
        <v>1027</v>
      </c>
      <c r="G52" s="1" t="s">
        <v>1039</v>
      </c>
      <c r="H52" s="1" t="s">
        <v>718</v>
      </c>
      <c r="I52" s="1" t="s">
        <v>1026</v>
      </c>
      <c r="J52" s="4">
        <v>45597</v>
      </c>
      <c r="K52" s="2">
        <v>45865.374305555553</v>
      </c>
      <c r="L52" s="2">
        <v>45865.374305555553</v>
      </c>
      <c r="M52" s="1" t="s">
        <v>1028</v>
      </c>
    </row>
    <row r="53" spans="1:13" x14ac:dyDescent="0.3">
      <c r="A53" s="1">
        <v>2024</v>
      </c>
      <c r="B53" t="s">
        <v>714</v>
      </c>
      <c r="C53" s="1" t="s">
        <v>715</v>
      </c>
      <c r="D53" s="1" t="s">
        <v>715</v>
      </c>
      <c r="E53" s="1" t="s">
        <v>1048</v>
      </c>
      <c r="F53" s="1" t="s">
        <v>1032</v>
      </c>
      <c r="G53" s="1" t="s">
        <v>1047</v>
      </c>
      <c r="H53" s="1" t="s">
        <v>718</v>
      </c>
      <c r="I53" s="1" t="s">
        <v>1031</v>
      </c>
      <c r="J53" s="4">
        <v>45505</v>
      </c>
      <c r="K53" s="2">
        <v>45865.374305555553</v>
      </c>
      <c r="L53" s="2">
        <v>45865.374305555553</v>
      </c>
      <c r="M53" s="1" t="s">
        <v>1033</v>
      </c>
    </row>
    <row r="54" spans="1:13" x14ac:dyDescent="0.3">
      <c r="A54" s="1">
        <v>2024</v>
      </c>
      <c r="B54" t="s">
        <v>714</v>
      </c>
      <c r="C54" s="1" t="s">
        <v>715</v>
      </c>
      <c r="D54" s="1" t="s">
        <v>715</v>
      </c>
      <c r="E54" s="1" t="s">
        <v>1059</v>
      </c>
      <c r="F54" s="1" t="s">
        <v>1042</v>
      </c>
      <c r="G54" s="1" t="s">
        <v>1058</v>
      </c>
      <c r="H54" s="1" t="s">
        <v>718</v>
      </c>
      <c r="I54" s="1" t="s">
        <v>1041</v>
      </c>
      <c r="J54" s="4">
        <v>45383</v>
      </c>
      <c r="K54" s="2">
        <v>45865.374305555553</v>
      </c>
      <c r="L54" s="2">
        <v>45865.374305555553</v>
      </c>
      <c r="M54" s="1" t="s">
        <v>1043</v>
      </c>
    </row>
    <row r="55" spans="1:13" x14ac:dyDescent="0.3">
      <c r="A55" s="1">
        <v>2024</v>
      </c>
      <c r="B55" t="s">
        <v>714</v>
      </c>
      <c r="C55" s="1" t="s">
        <v>715</v>
      </c>
      <c r="D55" s="1" t="s">
        <v>715</v>
      </c>
      <c r="E55" s="1" t="s">
        <v>1069</v>
      </c>
      <c r="F55" s="1" t="s">
        <v>1050</v>
      </c>
      <c r="G55" s="1" t="s">
        <v>1068</v>
      </c>
      <c r="H55" s="1" t="s">
        <v>718</v>
      </c>
      <c r="I55" s="1" t="s">
        <v>1049</v>
      </c>
      <c r="J55" s="4">
        <v>45352</v>
      </c>
      <c r="K55" s="2">
        <v>45865.374305555553</v>
      </c>
      <c r="L55" s="2">
        <v>45865.374305555553</v>
      </c>
      <c r="M55" s="1" t="s">
        <v>1051</v>
      </c>
    </row>
    <row r="56" spans="1:13" x14ac:dyDescent="0.3">
      <c r="A56" s="1">
        <v>2024</v>
      </c>
      <c r="B56" t="s">
        <v>714</v>
      </c>
      <c r="C56" s="1" t="s">
        <v>715</v>
      </c>
      <c r="D56" s="1" t="s">
        <v>715</v>
      </c>
      <c r="E56" s="1" t="s">
        <v>1077</v>
      </c>
      <c r="F56" s="1" t="s">
        <v>1055</v>
      </c>
      <c r="G56" s="1" t="s">
        <v>1076</v>
      </c>
      <c r="H56" s="1" t="s">
        <v>718</v>
      </c>
      <c r="I56" s="1" t="s">
        <v>1054</v>
      </c>
      <c r="J56" s="4">
        <v>45413</v>
      </c>
      <c r="K56" s="2">
        <v>45865.374305555553</v>
      </c>
      <c r="L56" s="2">
        <v>45865.374305555553</v>
      </c>
      <c r="M56" s="1" t="s">
        <v>1057</v>
      </c>
    </row>
    <row r="57" spans="1:13" x14ac:dyDescent="0.3">
      <c r="A57" s="1">
        <v>2024</v>
      </c>
      <c r="B57" t="s">
        <v>714</v>
      </c>
      <c r="C57" s="1" t="s">
        <v>715</v>
      </c>
      <c r="D57" s="1" t="s">
        <v>715</v>
      </c>
      <c r="E57" s="1" t="s">
        <v>1089</v>
      </c>
      <c r="F57" s="1" t="s">
        <v>1061</v>
      </c>
      <c r="G57" s="1" t="s">
        <v>1088</v>
      </c>
      <c r="H57" s="1" t="s">
        <v>718</v>
      </c>
      <c r="I57" s="1" t="s">
        <v>1060</v>
      </c>
      <c r="J57" s="4">
        <v>45505</v>
      </c>
      <c r="K57" s="2">
        <v>45865.374305555553</v>
      </c>
      <c r="L57" s="2">
        <v>45865.374305555553</v>
      </c>
      <c r="M57" s="1" t="s">
        <v>1062</v>
      </c>
    </row>
    <row r="58" spans="1:13" x14ac:dyDescent="0.3">
      <c r="A58" s="1">
        <v>2024</v>
      </c>
      <c r="B58" t="s">
        <v>714</v>
      </c>
      <c r="C58" s="1" t="s">
        <v>715</v>
      </c>
      <c r="D58" s="1" t="s">
        <v>715</v>
      </c>
      <c r="E58" s="1" t="s">
        <v>1093</v>
      </c>
      <c r="F58" s="1" t="s">
        <v>1066</v>
      </c>
      <c r="G58" s="1" t="s">
        <v>1024</v>
      </c>
      <c r="H58" s="1" t="s">
        <v>718</v>
      </c>
      <c r="I58" s="1" t="s">
        <v>1065</v>
      </c>
      <c r="J58" s="4">
        <v>45292</v>
      </c>
      <c r="K58" s="2">
        <v>45865.374305555553</v>
      </c>
      <c r="L58" s="2">
        <v>45865.374305555553</v>
      </c>
      <c r="M58" s="1" t="s">
        <v>1067</v>
      </c>
    </row>
    <row r="59" spans="1:13" x14ac:dyDescent="0.3">
      <c r="A59" s="1">
        <v>2024</v>
      </c>
      <c r="B59" t="s">
        <v>714</v>
      </c>
      <c r="C59" s="1" t="s">
        <v>715</v>
      </c>
      <c r="D59" s="1" t="s">
        <v>715</v>
      </c>
      <c r="E59" s="1" t="s">
        <v>1098</v>
      </c>
      <c r="F59" s="1" t="s">
        <v>1071</v>
      </c>
      <c r="G59" s="1" t="s">
        <v>1097</v>
      </c>
      <c r="H59" s="1" t="s">
        <v>718</v>
      </c>
      <c r="I59" s="1" t="s">
        <v>1070</v>
      </c>
      <c r="J59" s="4">
        <v>45597</v>
      </c>
      <c r="K59" s="2">
        <v>45865.374305555553</v>
      </c>
      <c r="L59" s="2">
        <v>45865.374305555553</v>
      </c>
      <c r="M59" s="1" t="s">
        <v>1072</v>
      </c>
    </row>
    <row r="60" spans="1:13" x14ac:dyDescent="0.3">
      <c r="A60" s="1">
        <v>2024</v>
      </c>
      <c r="B60" t="s">
        <v>714</v>
      </c>
      <c r="C60" s="1" t="s">
        <v>715</v>
      </c>
      <c r="D60" s="1" t="s">
        <v>715</v>
      </c>
      <c r="E60" s="1" t="s">
        <v>1107</v>
      </c>
      <c r="F60" s="1" t="s">
        <v>1079</v>
      </c>
      <c r="G60" s="1" t="s">
        <v>1106</v>
      </c>
      <c r="H60" s="1" t="s">
        <v>718</v>
      </c>
      <c r="I60" s="1" t="s">
        <v>1078</v>
      </c>
      <c r="J60" s="4">
        <v>45474</v>
      </c>
      <c r="K60" s="2">
        <v>45865.374305555553</v>
      </c>
      <c r="L60" s="2">
        <v>45865.374305555553</v>
      </c>
      <c r="M60" s="1" t="s">
        <v>1080</v>
      </c>
    </row>
    <row r="61" spans="1:13" x14ac:dyDescent="0.3">
      <c r="A61" s="1">
        <v>2024</v>
      </c>
      <c r="B61" t="s">
        <v>714</v>
      </c>
      <c r="C61" s="1" t="s">
        <v>715</v>
      </c>
      <c r="D61" s="1" t="s">
        <v>715</v>
      </c>
      <c r="E61" s="1" t="s">
        <v>1114</v>
      </c>
      <c r="F61" s="1" t="s">
        <v>1091</v>
      </c>
      <c r="G61" s="1" t="s">
        <v>1113</v>
      </c>
      <c r="H61" s="1" t="s">
        <v>718</v>
      </c>
      <c r="I61" s="1" t="s">
        <v>1090</v>
      </c>
      <c r="J61" s="4">
        <v>45597</v>
      </c>
      <c r="K61" s="2">
        <v>45865.374305555553</v>
      </c>
      <c r="L61" s="2">
        <v>45865.374305555553</v>
      </c>
      <c r="M61" s="1" t="s">
        <v>1092</v>
      </c>
    </row>
    <row r="62" spans="1:13" x14ac:dyDescent="0.3">
      <c r="A62" s="1">
        <v>2024</v>
      </c>
      <c r="B62" t="s">
        <v>714</v>
      </c>
      <c r="C62" s="1" t="s">
        <v>715</v>
      </c>
      <c r="D62" s="1" t="s">
        <v>715</v>
      </c>
      <c r="E62" s="1" t="s">
        <v>1124</v>
      </c>
      <c r="F62" s="1" t="s">
        <v>1095</v>
      </c>
      <c r="G62" s="1" t="s">
        <v>1123</v>
      </c>
      <c r="H62" s="1" t="s">
        <v>718</v>
      </c>
      <c r="I62" s="1" t="s">
        <v>1094</v>
      </c>
      <c r="J62" s="4">
        <v>45352</v>
      </c>
      <c r="K62" s="2">
        <v>45865.374305555553</v>
      </c>
      <c r="L62" s="2">
        <v>45865.374305555553</v>
      </c>
      <c r="M62" s="1" t="s">
        <v>1096</v>
      </c>
    </row>
    <row r="63" spans="1:13" x14ac:dyDescent="0.3">
      <c r="A63" s="1">
        <v>2024</v>
      </c>
      <c r="B63" t="s">
        <v>714</v>
      </c>
      <c r="C63" s="1" t="s">
        <v>715</v>
      </c>
      <c r="D63" s="1" t="s">
        <v>715</v>
      </c>
      <c r="E63" s="1" t="s">
        <v>1129</v>
      </c>
      <c r="F63" s="1" t="s">
        <v>1100</v>
      </c>
      <c r="G63" s="1" t="s">
        <v>1128</v>
      </c>
      <c r="H63" s="1" t="s">
        <v>718</v>
      </c>
      <c r="I63" s="1" t="s">
        <v>1099</v>
      </c>
      <c r="J63" s="4">
        <v>45323</v>
      </c>
      <c r="K63" s="2">
        <v>45865.374305555553</v>
      </c>
      <c r="L63" s="2">
        <v>45865.374305555553</v>
      </c>
      <c r="M63" s="1" t="s">
        <v>1101</v>
      </c>
    </row>
    <row r="64" spans="1:13" x14ac:dyDescent="0.3">
      <c r="A64" s="1">
        <v>2024</v>
      </c>
      <c r="B64" t="s">
        <v>714</v>
      </c>
      <c r="C64" s="1" t="s">
        <v>715</v>
      </c>
      <c r="D64" s="1" t="s">
        <v>715</v>
      </c>
      <c r="E64" s="1" t="s">
        <v>1144</v>
      </c>
      <c r="F64" s="1" t="s">
        <v>1104</v>
      </c>
      <c r="G64" s="1" t="s">
        <v>1143</v>
      </c>
      <c r="H64" s="1" t="s">
        <v>718</v>
      </c>
      <c r="I64" s="1" t="s">
        <v>1103</v>
      </c>
      <c r="J64" s="4">
        <v>45505</v>
      </c>
      <c r="K64" s="2">
        <v>45865.374305555553</v>
      </c>
      <c r="L64" s="2">
        <v>45865.374305555553</v>
      </c>
      <c r="M64" s="1" t="s">
        <v>1105</v>
      </c>
    </row>
    <row r="65" spans="1:13" x14ac:dyDescent="0.3">
      <c r="A65" s="1">
        <v>2024</v>
      </c>
      <c r="B65" t="s">
        <v>714</v>
      </c>
      <c r="C65" s="1" t="s">
        <v>715</v>
      </c>
      <c r="D65" s="1" t="s">
        <v>715</v>
      </c>
      <c r="E65" s="1" t="s">
        <v>1162</v>
      </c>
      <c r="F65" s="1" t="s">
        <v>1111</v>
      </c>
      <c r="G65" s="1" t="s">
        <v>1161</v>
      </c>
      <c r="H65" s="1" t="s">
        <v>718</v>
      </c>
      <c r="I65" s="1" t="s">
        <v>1110</v>
      </c>
      <c r="J65" s="4">
        <v>45383</v>
      </c>
      <c r="K65" s="2">
        <v>45865.374305555553</v>
      </c>
      <c r="L65" s="2">
        <v>45865.374305555553</v>
      </c>
      <c r="M65" s="1" t="s">
        <v>1112</v>
      </c>
    </row>
    <row r="66" spans="1:13" x14ac:dyDescent="0.3">
      <c r="A66" s="1">
        <v>2024</v>
      </c>
      <c r="B66" t="s">
        <v>714</v>
      </c>
      <c r="C66" s="1" t="s">
        <v>715</v>
      </c>
      <c r="D66" s="1" t="s">
        <v>715</v>
      </c>
      <c r="E66" s="1" t="s">
        <v>1167</v>
      </c>
      <c r="F66" s="1" t="s">
        <v>1116</v>
      </c>
      <c r="G66" s="1" t="s">
        <v>1166</v>
      </c>
      <c r="H66" s="1" t="s">
        <v>718</v>
      </c>
      <c r="I66" s="1" t="s">
        <v>1115</v>
      </c>
      <c r="J66" s="4">
        <v>45444</v>
      </c>
      <c r="K66" s="2">
        <v>45865.374305555553</v>
      </c>
      <c r="L66" s="2">
        <v>45865.374305555553</v>
      </c>
      <c r="M66" s="1" t="s">
        <v>1117</v>
      </c>
    </row>
    <row r="67" spans="1:13" x14ac:dyDescent="0.3">
      <c r="A67" s="1">
        <v>2024</v>
      </c>
      <c r="B67" t="s">
        <v>714</v>
      </c>
      <c r="C67" s="1" t="s">
        <v>715</v>
      </c>
      <c r="D67" s="1" t="s">
        <v>715</v>
      </c>
      <c r="E67" s="1" t="s">
        <v>1189</v>
      </c>
      <c r="F67" s="1" t="s">
        <v>1126</v>
      </c>
      <c r="G67" s="1" t="s">
        <v>1188</v>
      </c>
      <c r="H67" s="1" t="s">
        <v>718</v>
      </c>
      <c r="I67" s="1" t="s">
        <v>1125</v>
      </c>
      <c r="J67" s="4">
        <v>45413</v>
      </c>
      <c r="K67" s="2">
        <v>45865.374305555553</v>
      </c>
      <c r="L67" s="2">
        <v>45865.374305555553</v>
      </c>
      <c r="M67" s="1" t="s">
        <v>1127</v>
      </c>
    </row>
    <row r="68" spans="1:13" x14ac:dyDescent="0.3">
      <c r="A68" s="1">
        <v>2024</v>
      </c>
      <c r="B68" t="s">
        <v>714</v>
      </c>
      <c r="C68" s="1" t="s">
        <v>715</v>
      </c>
      <c r="D68" s="1" t="s">
        <v>715</v>
      </c>
      <c r="E68" s="1" t="s">
        <v>1194</v>
      </c>
      <c r="F68" s="1" t="s">
        <v>1131</v>
      </c>
      <c r="G68" s="1" t="s">
        <v>1193</v>
      </c>
      <c r="H68" s="1" t="s">
        <v>718</v>
      </c>
      <c r="I68" s="1" t="s">
        <v>1130</v>
      </c>
      <c r="J68" s="4">
        <v>45627</v>
      </c>
      <c r="K68" s="2">
        <v>45865.374305555553</v>
      </c>
      <c r="L68" s="2">
        <v>45865.374305555553</v>
      </c>
      <c r="M68" s="1" t="s">
        <v>1132</v>
      </c>
    </row>
    <row r="69" spans="1:13" x14ac:dyDescent="0.3">
      <c r="A69" s="1">
        <v>2024</v>
      </c>
      <c r="B69" t="s">
        <v>714</v>
      </c>
      <c r="C69" s="1" t="s">
        <v>715</v>
      </c>
      <c r="D69" s="1" t="s">
        <v>715</v>
      </c>
      <c r="E69" s="1" t="s">
        <v>1224</v>
      </c>
      <c r="F69" s="1" t="s">
        <v>1146</v>
      </c>
      <c r="G69" s="1" t="s">
        <v>1223</v>
      </c>
      <c r="H69" s="1" t="s">
        <v>718</v>
      </c>
      <c r="I69" s="1" t="s">
        <v>1145</v>
      </c>
      <c r="J69" s="4">
        <v>45413</v>
      </c>
      <c r="K69" s="2">
        <v>45865.374305555553</v>
      </c>
      <c r="L69" s="2">
        <v>45865.374305555553</v>
      </c>
      <c r="M69" s="1" t="s">
        <v>1147</v>
      </c>
    </row>
    <row r="70" spans="1:13" x14ac:dyDescent="0.3">
      <c r="A70" s="1">
        <v>2024</v>
      </c>
      <c r="B70" t="s">
        <v>714</v>
      </c>
      <c r="C70" s="1" t="s">
        <v>715</v>
      </c>
      <c r="D70" s="1" t="s">
        <v>715</v>
      </c>
      <c r="E70" s="1" t="s">
        <v>1229</v>
      </c>
      <c r="F70" s="1" t="s">
        <v>1149</v>
      </c>
      <c r="G70" s="1" t="s">
        <v>1228</v>
      </c>
      <c r="H70" s="1" t="s">
        <v>718</v>
      </c>
      <c r="I70" s="1" t="s">
        <v>1148</v>
      </c>
      <c r="J70" s="4">
        <v>45566</v>
      </c>
      <c r="K70" s="2">
        <v>45865.374305555553</v>
      </c>
      <c r="L70" s="2">
        <v>45865.374305555553</v>
      </c>
      <c r="M70" s="1" t="s">
        <v>1150</v>
      </c>
    </row>
    <row r="71" spans="1:13" x14ac:dyDescent="0.3">
      <c r="A71" s="1">
        <v>2024</v>
      </c>
      <c r="B71" t="s">
        <v>714</v>
      </c>
      <c r="C71" s="1" t="s">
        <v>715</v>
      </c>
      <c r="D71" s="1" t="s">
        <v>715</v>
      </c>
      <c r="E71" s="1" t="s">
        <v>1268</v>
      </c>
      <c r="F71" s="1" t="s">
        <v>1164</v>
      </c>
      <c r="G71" s="1" t="s">
        <v>1267</v>
      </c>
      <c r="H71" s="1" t="s">
        <v>718</v>
      </c>
      <c r="I71" s="1" t="s">
        <v>1163</v>
      </c>
      <c r="J71" s="4">
        <v>45383</v>
      </c>
      <c r="K71" s="2">
        <v>45865.374305555553</v>
      </c>
      <c r="L71" s="2">
        <v>45865.374305555553</v>
      </c>
      <c r="M71" s="1" t="s">
        <v>1165</v>
      </c>
    </row>
    <row r="72" spans="1:13" x14ac:dyDescent="0.3">
      <c r="A72" s="1">
        <v>2024</v>
      </c>
      <c r="B72" t="s">
        <v>714</v>
      </c>
      <c r="C72" s="1" t="s">
        <v>715</v>
      </c>
      <c r="D72" s="1" t="s">
        <v>715</v>
      </c>
      <c r="E72" s="1" t="s">
        <v>1270</v>
      </c>
      <c r="F72" s="1" t="s">
        <v>1169</v>
      </c>
      <c r="G72" s="1" t="s">
        <v>1269</v>
      </c>
      <c r="H72" s="1" t="s">
        <v>718</v>
      </c>
      <c r="I72" s="1" t="s">
        <v>1168</v>
      </c>
      <c r="J72" s="4">
        <v>45383</v>
      </c>
      <c r="K72" s="2">
        <v>45865.374305555553</v>
      </c>
      <c r="L72" s="2">
        <v>45865.374305555553</v>
      </c>
      <c r="M72" s="1" t="s">
        <v>1170</v>
      </c>
    </row>
    <row r="73" spans="1:13" x14ac:dyDescent="0.3">
      <c r="A73" s="1">
        <v>2024</v>
      </c>
      <c r="B73" t="s">
        <v>714</v>
      </c>
      <c r="C73" s="1" t="s">
        <v>715</v>
      </c>
      <c r="D73" s="1" t="s">
        <v>715</v>
      </c>
      <c r="E73" s="1" t="s">
        <v>1288</v>
      </c>
      <c r="F73" s="1" t="s">
        <v>1191</v>
      </c>
      <c r="G73" s="1" t="s">
        <v>1287</v>
      </c>
      <c r="H73" s="1" t="s">
        <v>718</v>
      </c>
      <c r="I73" s="1" t="s">
        <v>1190</v>
      </c>
      <c r="J73" s="4">
        <v>45413</v>
      </c>
      <c r="K73" s="2">
        <v>45865.374305555553</v>
      </c>
      <c r="L73" s="2">
        <v>45865.374305555553</v>
      </c>
      <c r="M73" s="1" t="s">
        <v>1192</v>
      </c>
    </row>
    <row r="74" spans="1:13" x14ac:dyDescent="0.3">
      <c r="A74" s="1">
        <v>2024</v>
      </c>
      <c r="B74" t="s">
        <v>714</v>
      </c>
      <c r="C74" s="1" t="s">
        <v>715</v>
      </c>
      <c r="D74" s="1" t="s">
        <v>715</v>
      </c>
      <c r="E74" s="1" t="s">
        <v>1293</v>
      </c>
      <c r="F74" s="1" t="s">
        <v>1196</v>
      </c>
      <c r="G74" s="1" t="s">
        <v>1292</v>
      </c>
      <c r="H74" s="1" t="s">
        <v>718</v>
      </c>
      <c r="I74" s="1" t="s">
        <v>1195</v>
      </c>
      <c r="J74" s="4">
        <v>45413</v>
      </c>
      <c r="K74" s="2">
        <v>45865.374305555553</v>
      </c>
      <c r="L74" s="2">
        <v>45865.374305555553</v>
      </c>
      <c r="M74" s="1" t="s">
        <v>1197</v>
      </c>
    </row>
    <row r="75" spans="1:13" x14ac:dyDescent="0.3">
      <c r="A75" s="1">
        <v>2024</v>
      </c>
      <c r="B75" t="s">
        <v>714</v>
      </c>
      <c r="C75" s="1" t="s">
        <v>715</v>
      </c>
      <c r="D75" s="1" t="s">
        <v>715</v>
      </c>
      <c r="E75" s="1" t="s">
        <v>1307</v>
      </c>
      <c r="F75" s="1" t="s">
        <v>1216</v>
      </c>
      <c r="G75" s="1" t="s">
        <v>1306</v>
      </c>
      <c r="H75" s="1" t="s">
        <v>718</v>
      </c>
      <c r="I75" s="1" t="s">
        <v>1215</v>
      </c>
      <c r="J75" s="4">
        <v>45413</v>
      </c>
      <c r="K75" s="2">
        <v>45865.374305555553</v>
      </c>
      <c r="L75" s="2">
        <v>45865.374305555553</v>
      </c>
      <c r="M75" s="1" t="s">
        <v>1217</v>
      </c>
    </row>
    <row r="76" spans="1:13" x14ac:dyDescent="0.3">
      <c r="A76" s="1">
        <v>2024</v>
      </c>
      <c r="B76" t="s">
        <v>714</v>
      </c>
      <c r="C76" s="1" t="s">
        <v>715</v>
      </c>
      <c r="D76" s="1" t="s">
        <v>715</v>
      </c>
      <c r="E76" s="1" t="s">
        <v>1309</v>
      </c>
      <c r="F76" s="1" t="s">
        <v>1221</v>
      </c>
      <c r="G76" s="1" t="s">
        <v>1308</v>
      </c>
      <c r="H76" s="1" t="s">
        <v>718</v>
      </c>
      <c r="I76" s="1" t="s">
        <v>1220</v>
      </c>
      <c r="J76" s="4">
        <v>45323</v>
      </c>
      <c r="K76" s="2">
        <v>45865.374305555553</v>
      </c>
      <c r="L76" s="2">
        <v>45865.374305555553</v>
      </c>
      <c r="M76" s="1" t="s">
        <v>1222</v>
      </c>
    </row>
    <row r="77" spans="1:13" x14ac:dyDescent="0.3">
      <c r="A77" s="1">
        <v>2024</v>
      </c>
      <c r="B77" t="s">
        <v>714</v>
      </c>
      <c r="C77" s="1" t="s">
        <v>715</v>
      </c>
      <c r="D77" s="1" t="s">
        <v>715</v>
      </c>
      <c r="E77" s="1" t="s">
        <v>1314</v>
      </c>
      <c r="F77" s="1" t="s">
        <v>1226</v>
      </c>
      <c r="G77" s="1" t="s">
        <v>1313</v>
      </c>
      <c r="H77" s="1" t="s">
        <v>718</v>
      </c>
      <c r="I77" s="1" t="s">
        <v>1225</v>
      </c>
      <c r="J77" s="4">
        <v>45413</v>
      </c>
      <c r="K77" s="2">
        <v>45865.374305555553</v>
      </c>
      <c r="L77" s="2">
        <v>45865.374305555553</v>
      </c>
      <c r="M77" s="1" t="s">
        <v>1227</v>
      </c>
    </row>
    <row r="78" spans="1:13" x14ac:dyDescent="0.3">
      <c r="A78" s="1">
        <v>2024</v>
      </c>
      <c r="B78" t="s">
        <v>714</v>
      </c>
      <c r="C78" s="1" t="s">
        <v>715</v>
      </c>
      <c r="D78" s="1" t="s">
        <v>715</v>
      </c>
      <c r="E78" s="1" t="s">
        <v>1321</v>
      </c>
      <c r="F78" s="1" t="s">
        <v>1231</v>
      </c>
      <c r="G78" s="1" t="s">
        <v>1320</v>
      </c>
      <c r="H78" s="1" t="s">
        <v>718</v>
      </c>
      <c r="I78" s="1" t="s">
        <v>1230</v>
      </c>
      <c r="J78" s="4">
        <v>45444</v>
      </c>
      <c r="K78" s="2">
        <v>45865.374305555553</v>
      </c>
      <c r="L78" s="2">
        <v>45865.374305555553</v>
      </c>
      <c r="M78" s="1" t="s">
        <v>1232</v>
      </c>
    </row>
    <row r="79" spans="1:13" x14ac:dyDescent="0.3">
      <c r="A79" s="1">
        <v>2024</v>
      </c>
      <c r="B79" t="s">
        <v>714</v>
      </c>
      <c r="C79" s="1" t="s">
        <v>715</v>
      </c>
      <c r="D79" s="1" t="s">
        <v>715</v>
      </c>
      <c r="E79" s="1" t="s">
        <v>1323</v>
      </c>
      <c r="F79" s="1" t="s">
        <v>1236</v>
      </c>
      <c r="G79" s="1" t="s">
        <v>1322</v>
      </c>
      <c r="H79" s="1" t="s">
        <v>718</v>
      </c>
      <c r="I79" s="1" t="s">
        <v>1235</v>
      </c>
      <c r="J79" s="4">
        <v>45474</v>
      </c>
      <c r="K79" s="2">
        <v>45865.374305555553</v>
      </c>
      <c r="L79" s="2">
        <v>45865.374305555553</v>
      </c>
      <c r="M79" s="1" t="s">
        <v>1237</v>
      </c>
    </row>
    <row r="80" spans="1:13" x14ac:dyDescent="0.3">
      <c r="A80" s="1">
        <v>2024</v>
      </c>
      <c r="B80" t="s">
        <v>714</v>
      </c>
      <c r="C80" s="1" t="s">
        <v>715</v>
      </c>
      <c r="D80" s="1" t="s">
        <v>715</v>
      </c>
      <c r="E80" s="1" t="s">
        <v>1330</v>
      </c>
      <c r="F80" s="1" t="s">
        <v>1241</v>
      </c>
      <c r="G80" s="1" t="s">
        <v>1329</v>
      </c>
      <c r="H80" s="1" t="s">
        <v>718</v>
      </c>
      <c r="I80" s="1" t="s">
        <v>1240</v>
      </c>
      <c r="J80" s="4">
        <v>45444</v>
      </c>
      <c r="K80" s="2">
        <v>45865.374305555553</v>
      </c>
      <c r="L80" s="2">
        <v>45865.374305555553</v>
      </c>
      <c r="M80" s="1" t="s">
        <v>1242</v>
      </c>
    </row>
    <row r="81" spans="1:13" x14ac:dyDescent="0.3">
      <c r="A81" s="1">
        <v>2024</v>
      </c>
      <c r="B81" t="s">
        <v>714</v>
      </c>
      <c r="C81" s="1" t="s">
        <v>715</v>
      </c>
      <c r="D81" s="1" t="s">
        <v>967</v>
      </c>
      <c r="E81" s="1" t="s">
        <v>1257</v>
      </c>
      <c r="F81" s="1" t="s">
        <v>1285</v>
      </c>
      <c r="G81" s="1" t="s">
        <v>1256</v>
      </c>
      <c r="H81" s="1" t="s">
        <v>718</v>
      </c>
      <c r="I81" s="1" t="s">
        <v>1284</v>
      </c>
      <c r="J81" s="4">
        <v>45444</v>
      </c>
      <c r="K81" s="2">
        <v>45865.384814814817</v>
      </c>
      <c r="L81" s="2">
        <v>45865.384814814817</v>
      </c>
      <c r="M81" s="1" t="s">
        <v>1286</v>
      </c>
    </row>
    <row r="82" spans="1:13" x14ac:dyDescent="0.3">
      <c r="A82" s="1">
        <v>2025</v>
      </c>
      <c r="B82" t="s">
        <v>714</v>
      </c>
      <c r="C82" s="1" t="s">
        <v>715</v>
      </c>
      <c r="D82" s="1" t="s">
        <v>967</v>
      </c>
      <c r="E82" s="1" t="s">
        <v>1366</v>
      </c>
      <c r="F82" s="1" t="s">
        <v>1290</v>
      </c>
      <c r="G82" s="1" t="s">
        <v>1365</v>
      </c>
      <c r="H82" s="1" t="s">
        <v>718</v>
      </c>
      <c r="I82" s="1" t="s">
        <v>1289</v>
      </c>
      <c r="J82" s="4">
        <v>45505</v>
      </c>
      <c r="K82" s="2">
        <v>45865.384814814817</v>
      </c>
      <c r="L82" s="2">
        <v>45865.384814814817</v>
      </c>
      <c r="M82" s="1" t="s">
        <v>1291</v>
      </c>
    </row>
    <row r="83" spans="1:13" x14ac:dyDescent="0.3">
      <c r="A83" s="1">
        <v>2025</v>
      </c>
      <c r="B83" t="s">
        <v>714</v>
      </c>
      <c r="C83" s="1" t="s">
        <v>715</v>
      </c>
      <c r="D83" s="1" t="s">
        <v>967</v>
      </c>
      <c r="E83" s="1" t="s">
        <v>1487</v>
      </c>
      <c r="F83" s="1" t="s">
        <v>1297</v>
      </c>
      <c r="G83" s="1" t="s">
        <v>1486</v>
      </c>
      <c r="H83" s="1" t="s">
        <v>718</v>
      </c>
      <c r="I83" s="1" t="s">
        <v>1296</v>
      </c>
      <c r="J83" s="4">
        <v>45383</v>
      </c>
      <c r="K83" s="2">
        <v>45865.384814814817</v>
      </c>
      <c r="L83" s="2">
        <v>45865.384814814817</v>
      </c>
      <c r="M83" s="1" t="s">
        <v>1298</v>
      </c>
    </row>
    <row r="84" spans="1:13" x14ac:dyDescent="0.3">
      <c r="A84" s="1">
        <v>2021</v>
      </c>
      <c r="B84" t="s">
        <v>714</v>
      </c>
      <c r="C84" s="1" t="s">
        <v>715</v>
      </c>
      <c r="D84" s="1" t="s">
        <v>799</v>
      </c>
      <c r="E84" s="1" t="s">
        <v>801</v>
      </c>
      <c r="F84" s="1" t="s">
        <v>1311</v>
      </c>
      <c r="G84" s="1" t="s">
        <v>800</v>
      </c>
      <c r="H84" s="1" t="s">
        <v>718</v>
      </c>
      <c r="I84" s="1" t="s">
        <v>1310</v>
      </c>
      <c r="J84" s="4">
        <v>45383</v>
      </c>
      <c r="K84" s="2">
        <v>45865.394490740742</v>
      </c>
      <c r="L84" s="2">
        <v>45865.394490740742</v>
      </c>
      <c r="M84" s="1" t="s">
        <v>1312</v>
      </c>
    </row>
    <row r="85" spans="1:13" x14ac:dyDescent="0.3">
      <c r="A85" s="1">
        <v>2025</v>
      </c>
      <c r="B85" t="s">
        <v>714</v>
      </c>
      <c r="C85" s="1" t="s">
        <v>715</v>
      </c>
      <c r="D85" s="1" t="s">
        <v>764</v>
      </c>
      <c r="E85" s="1" t="s">
        <v>1346</v>
      </c>
      <c r="F85" s="1" t="s">
        <v>1340</v>
      </c>
      <c r="G85" s="1" t="s">
        <v>1345</v>
      </c>
      <c r="H85" s="1" t="s">
        <v>718</v>
      </c>
      <c r="I85" s="1" t="s">
        <v>1339</v>
      </c>
      <c r="J85" s="4">
        <v>45689</v>
      </c>
      <c r="K85" s="2">
        <v>45865.374305555553</v>
      </c>
      <c r="L85" s="2">
        <v>45865.374305555553</v>
      </c>
      <c r="M85" s="1" t="s">
        <v>1341</v>
      </c>
    </row>
    <row r="86" spans="1:13" x14ac:dyDescent="0.3">
      <c r="A86" s="1">
        <v>2025</v>
      </c>
      <c r="B86" t="s">
        <v>714</v>
      </c>
      <c r="C86" s="1" t="s">
        <v>715</v>
      </c>
      <c r="D86" s="1" t="s">
        <v>764</v>
      </c>
      <c r="E86" s="1" t="s">
        <v>1399</v>
      </c>
      <c r="F86" s="1" t="s">
        <v>1343</v>
      </c>
      <c r="G86" s="1" t="s">
        <v>1039</v>
      </c>
      <c r="H86" s="1" t="s">
        <v>718</v>
      </c>
      <c r="I86" s="1" t="s">
        <v>1342</v>
      </c>
      <c r="J86" s="4">
        <v>45778</v>
      </c>
      <c r="K86" s="2">
        <v>45865.374305555553</v>
      </c>
      <c r="L86" s="2">
        <v>45865.374305555553</v>
      </c>
      <c r="M86" s="1" t="s">
        <v>1344</v>
      </c>
    </row>
    <row r="87" spans="1:13" x14ac:dyDescent="0.3">
      <c r="A87" s="1">
        <v>2022</v>
      </c>
      <c r="B87" t="s">
        <v>714</v>
      </c>
      <c r="C87" s="1" t="s">
        <v>715</v>
      </c>
      <c r="D87" s="1" t="s">
        <v>724</v>
      </c>
      <c r="E87" s="1" t="s">
        <v>893</v>
      </c>
      <c r="F87" s="1" t="s">
        <v>1359</v>
      </c>
      <c r="G87" s="1" t="s">
        <v>892</v>
      </c>
      <c r="H87" s="1" t="s">
        <v>718</v>
      </c>
      <c r="I87" s="1" t="s">
        <v>1358</v>
      </c>
      <c r="J87" s="4">
        <v>45901</v>
      </c>
      <c r="K87" s="2">
        <v>45865.374305555553</v>
      </c>
      <c r="L87" s="2">
        <v>45865.374305555553</v>
      </c>
      <c r="M87" s="1" t="s">
        <v>1360</v>
      </c>
    </row>
    <row r="88" spans="1:13" x14ac:dyDescent="0.3">
      <c r="A88" s="1">
        <v>2022</v>
      </c>
      <c r="B88" t="s">
        <v>714</v>
      </c>
      <c r="C88" s="1" t="s">
        <v>715</v>
      </c>
      <c r="D88" s="1" t="s">
        <v>724</v>
      </c>
      <c r="E88" s="1" t="s">
        <v>921</v>
      </c>
      <c r="F88" s="1" t="s">
        <v>1373</v>
      </c>
      <c r="G88" s="1" t="s">
        <v>920</v>
      </c>
      <c r="H88" s="1" t="s">
        <v>718</v>
      </c>
      <c r="I88" s="1" t="s">
        <v>1372</v>
      </c>
      <c r="J88" s="4">
        <v>45717</v>
      </c>
      <c r="K88" s="2">
        <v>45865.374305555553</v>
      </c>
      <c r="L88" s="2">
        <v>45865.374305555553</v>
      </c>
      <c r="M88" s="1" t="s">
        <v>1374</v>
      </c>
    </row>
    <row r="89" spans="1:13" x14ac:dyDescent="0.3">
      <c r="A89" s="1">
        <v>2024</v>
      </c>
      <c r="B89" t="s">
        <v>714</v>
      </c>
      <c r="C89" s="1" t="s">
        <v>715</v>
      </c>
      <c r="D89" s="1" t="s">
        <v>724</v>
      </c>
      <c r="E89" s="1" t="s">
        <v>1209</v>
      </c>
      <c r="F89" s="1" t="s">
        <v>1394</v>
      </c>
      <c r="G89" s="1" t="s">
        <v>1208</v>
      </c>
      <c r="H89" s="1" t="s">
        <v>718</v>
      </c>
      <c r="I89" s="1" t="s">
        <v>1393</v>
      </c>
      <c r="J89" s="4">
        <v>45748</v>
      </c>
      <c r="K89" s="2">
        <v>45865.374305555553</v>
      </c>
      <c r="L89" s="2">
        <v>45865.374305555553</v>
      </c>
      <c r="M89" s="1" t="s">
        <v>1395</v>
      </c>
    </row>
    <row r="90" spans="1:13" x14ac:dyDescent="0.3">
      <c r="A90" s="1">
        <v>2021</v>
      </c>
      <c r="B90" t="s">
        <v>714</v>
      </c>
      <c r="C90" s="1" t="s">
        <v>715</v>
      </c>
      <c r="D90" s="1" t="s">
        <v>730</v>
      </c>
      <c r="E90" s="1" t="s">
        <v>847</v>
      </c>
      <c r="F90" s="1" t="s">
        <v>1424</v>
      </c>
      <c r="G90" s="1" t="s">
        <v>846</v>
      </c>
      <c r="H90" s="1" t="s">
        <v>718</v>
      </c>
      <c r="I90" s="1" t="s">
        <v>1423</v>
      </c>
      <c r="J90" s="4">
        <v>45748</v>
      </c>
      <c r="K90" s="2">
        <v>45865.374305555553</v>
      </c>
      <c r="L90" s="2">
        <v>45865.374305555553</v>
      </c>
      <c r="M90" s="1" t="s">
        <v>1425</v>
      </c>
    </row>
    <row r="91" spans="1:13" x14ac:dyDescent="0.3">
      <c r="A91" s="1">
        <v>2023</v>
      </c>
      <c r="B91" t="s">
        <v>714</v>
      </c>
      <c r="C91" s="1" t="s">
        <v>715</v>
      </c>
      <c r="D91" s="1" t="s">
        <v>730</v>
      </c>
      <c r="E91" s="1" t="s">
        <v>989</v>
      </c>
      <c r="F91" s="1" t="s">
        <v>1446</v>
      </c>
      <c r="G91" s="1" t="s">
        <v>988</v>
      </c>
      <c r="H91" s="1" t="s">
        <v>718</v>
      </c>
      <c r="I91" s="1" t="s">
        <v>1445</v>
      </c>
      <c r="J91" s="4">
        <v>45992</v>
      </c>
      <c r="K91" s="2">
        <v>45865.374305555553</v>
      </c>
      <c r="L91" s="2">
        <v>45865.374305555553</v>
      </c>
      <c r="M91" s="1" t="s">
        <v>1447</v>
      </c>
    </row>
    <row r="92" spans="1:13" x14ac:dyDescent="0.3">
      <c r="A92" s="1">
        <v>2025</v>
      </c>
      <c r="B92" t="s">
        <v>714</v>
      </c>
      <c r="C92" s="1" t="s">
        <v>715</v>
      </c>
      <c r="D92" s="1" t="s">
        <v>1347</v>
      </c>
      <c r="E92" s="1" t="s">
        <v>1349</v>
      </c>
      <c r="F92" s="1" t="s">
        <v>1475</v>
      </c>
      <c r="G92" s="1" t="s">
        <v>1348</v>
      </c>
      <c r="H92" s="1" t="s">
        <v>718</v>
      </c>
      <c r="I92" s="1" t="s">
        <v>1474</v>
      </c>
      <c r="J92" s="4">
        <v>45778</v>
      </c>
      <c r="K92" s="2">
        <v>45865.395324074074</v>
      </c>
      <c r="L92" s="2">
        <v>45865.395324074074</v>
      </c>
      <c r="M92" s="1" t="s">
        <v>1491</v>
      </c>
    </row>
    <row r="93" spans="1:13" x14ac:dyDescent="0.3">
      <c r="A93" s="1">
        <v>2022</v>
      </c>
      <c r="B93" t="s">
        <v>714</v>
      </c>
      <c r="C93" s="1" t="s">
        <v>866</v>
      </c>
      <c r="D93" s="1" t="s">
        <v>755</v>
      </c>
      <c r="E93" s="1" t="s">
        <v>874</v>
      </c>
      <c r="F93" s="1" t="s">
        <v>871</v>
      </c>
      <c r="G93" s="1" t="s">
        <v>873</v>
      </c>
      <c r="H93" s="1" t="s">
        <v>869</v>
      </c>
      <c r="I93" s="1" t="s">
        <v>870</v>
      </c>
      <c r="J93" s="4">
        <v>44805</v>
      </c>
      <c r="K93" s="2">
        <v>45865.374305555553</v>
      </c>
      <c r="L93" s="2">
        <v>45865.374305555553</v>
      </c>
      <c r="M93" s="1" t="s">
        <v>872</v>
      </c>
    </row>
    <row r="94" spans="1:13" x14ac:dyDescent="0.3">
      <c r="A94" s="1">
        <v>2024</v>
      </c>
      <c r="B94" t="s">
        <v>714</v>
      </c>
      <c r="C94" s="1" t="s">
        <v>967</v>
      </c>
      <c r="D94" s="1" t="s">
        <v>715</v>
      </c>
      <c r="E94" s="1" t="s">
        <v>1064</v>
      </c>
      <c r="F94" s="1" t="s">
        <v>1045</v>
      </c>
      <c r="G94" s="1" t="s">
        <v>1063</v>
      </c>
      <c r="H94" s="1" t="s">
        <v>970</v>
      </c>
      <c r="I94" s="1" t="s">
        <v>1044</v>
      </c>
      <c r="J94" s="4">
        <v>45597</v>
      </c>
      <c r="K94" s="2">
        <v>45865.374305555553</v>
      </c>
      <c r="L94" s="2">
        <v>45865.374305555553</v>
      </c>
      <c r="M94" s="1" t="s">
        <v>1046</v>
      </c>
    </row>
    <row r="95" spans="1:13" x14ac:dyDescent="0.3">
      <c r="A95" s="1">
        <v>2022</v>
      </c>
      <c r="B95" t="s">
        <v>714</v>
      </c>
      <c r="C95" s="1" t="s">
        <v>967</v>
      </c>
      <c r="D95" s="1" t="s">
        <v>724</v>
      </c>
      <c r="E95" s="1" t="s">
        <v>901</v>
      </c>
      <c r="F95" s="1" t="s">
        <v>1368</v>
      </c>
      <c r="G95" s="1" t="s">
        <v>900</v>
      </c>
      <c r="H95" s="1" t="s">
        <v>970</v>
      </c>
      <c r="I95" s="1" t="s">
        <v>1367</v>
      </c>
      <c r="J95" s="4">
        <v>45931</v>
      </c>
      <c r="K95" s="2">
        <v>45865.374305555553</v>
      </c>
      <c r="L95" s="2">
        <v>45865.374305555553</v>
      </c>
      <c r="M95" s="1" t="s">
        <v>1369</v>
      </c>
    </row>
    <row r="96" spans="1:13" x14ac:dyDescent="0.3">
      <c r="A96" s="1">
        <v>2025</v>
      </c>
      <c r="B96" t="s">
        <v>714</v>
      </c>
      <c r="C96" s="1" t="s">
        <v>928</v>
      </c>
      <c r="D96" s="1" t="s">
        <v>730</v>
      </c>
      <c r="E96" s="1" t="s">
        <v>1482</v>
      </c>
      <c r="F96" s="1" t="s">
        <v>1452</v>
      </c>
      <c r="G96" s="1" t="s">
        <v>1481</v>
      </c>
      <c r="H96" s="1" t="s">
        <v>929</v>
      </c>
      <c r="I96" s="1" t="s">
        <v>1451</v>
      </c>
      <c r="J96" s="4">
        <v>45809</v>
      </c>
      <c r="K96" s="2">
        <v>45865.38480324074</v>
      </c>
      <c r="L96" s="2">
        <v>45865.38480324074</v>
      </c>
      <c r="M96" s="1" t="s">
        <v>1453</v>
      </c>
    </row>
    <row r="97" spans="1:13" x14ac:dyDescent="0.3">
      <c r="A97" s="1">
        <v>2024</v>
      </c>
      <c r="B97" t="s">
        <v>714</v>
      </c>
      <c r="C97" s="1" t="s">
        <v>1324</v>
      </c>
      <c r="D97" s="1" t="s">
        <v>965</v>
      </c>
      <c r="E97" s="1" t="s">
        <v>1035</v>
      </c>
      <c r="F97" s="1" t="s">
        <v>1327</v>
      </c>
      <c r="G97" s="1" t="s">
        <v>1034</v>
      </c>
      <c r="H97" s="1" t="s">
        <v>1325</v>
      </c>
      <c r="I97" s="1" t="s">
        <v>1326</v>
      </c>
      <c r="J97" s="4">
        <v>45413</v>
      </c>
      <c r="K97" s="2">
        <v>45865.394502314812</v>
      </c>
      <c r="L97" s="2">
        <v>45865.394502314812</v>
      </c>
      <c r="M97" s="1" t="s">
        <v>1328</v>
      </c>
    </row>
    <row r="98" spans="1:13" x14ac:dyDescent="0.3">
      <c r="A98" s="1">
        <v>2024</v>
      </c>
      <c r="B98" t="s">
        <v>714</v>
      </c>
      <c r="C98" s="1" t="s">
        <v>884</v>
      </c>
      <c r="D98" s="1" t="s">
        <v>755</v>
      </c>
      <c r="E98" s="1" t="s">
        <v>1316</v>
      </c>
      <c r="F98" s="1" t="s">
        <v>889</v>
      </c>
      <c r="G98" s="1" t="s">
        <v>1315</v>
      </c>
      <c r="H98" s="1" t="s">
        <v>887</v>
      </c>
      <c r="I98" s="1" t="s">
        <v>888</v>
      </c>
      <c r="J98" s="4">
        <v>44805</v>
      </c>
      <c r="K98" s="2">
        <v>45865.38480324074</v>
      </c>
      <c r="L98" s="2">
        <v>45865.38480324074</v>
      </c>
      <c r="M98" s="1" t="s">
        <v>890</v>
      </c>
    </row>
    <row r="99" spans="1:13" x14ac:dyDescent="0.3">
      <c r="A99" s="1">
        <v>2023</v>
      </c>
      <c r="B99" t="s">
        <v>714</v>
      </c>
      <c r="C99" s="1" t="s">
        <v>1454</v>
      </c>
      <c r="D99" s="1" t="s">
        <v>778</v>
      </c>
      <c r="E99" s="1" t="s">
        <v>936</v>
      </c>
      <c r="F99" s="1" t="s">
        <v>1457</v>
      </c>
      <c r="G99" s="1" t="s">
        <v>935</v>
      </c>
      <c r="H99" s="1" t="s">
        <v>1455</v>
      </c>
      <c r="I99" s="1" t="s">
        <v>1456</v>
      </c>
      <c r="J99" s="4">
        <v>45992</v>
      </c>
      <c r="K99" s="2">
        <v>45865.38480324074</v>
      </c>
      <c r="L99" s="2">
        <v>45865.38480324074</v>
      </c>
      <c r="M99" s="1" t="s">
        <v>1458</v>
      </c>
    </row>
    <row r="100" spans="1:13" x14ac:dyDescent="0.3">
      <c r="A100" s="1">
        <v>2020</v>
      </c>
      <c r="B100" t="s">
        <v>714</v>
      </c>
      <c r="C100" s="1" t="s">
        <v>799</v>
      </c>
      <c r="D100" s="1" t="s">
        <v>751</v>
      </c>
      <c r="E100" s="1" t="s">
        <v>763</v>
      </c>
      <c r="F100" s="1" t="s">
        <v>804</v>
      </c>
      <c r="G100" s="1" t="s">
        <v>762</v>
      </c>
      <c r="H100" s="1" t="s">
        <v>802</v>
      </c>
      <c r="I100" s="1" t="s">
        <v>803</v>
      </c>
      <c r="J100" s="4">
        <v>44197</v>
      </c>
      <c r="K100" s="2">
        <v>45865.374305555553</v>
      </c>
      <c r="L100" s="2">
        <v>45865.374305555553</v>
      </c>
      <c r="M100" s="1" t="s">
        <v>805</v>
      </c>
    </row>
    <row r="101" spans="1:13" x14ac:dyDescent="0.3">
      <c r="A101" s="1">
        <v>2022</v>
      </c>
      <c r="B101" t="s">
        <v>714</v>
      </c>
      <c r="C101" s="1" t="s">
        <v>737</v>
      </c>
      <c r="D101" s="1" t="s">
        <v>751</v>
      </c>
      <c r="E101" s="1" t="s">
        <v>898</v>
      </c>
      <c r="F101" s="1" t="s">
        <v>814</v>
      </c>
      <c r="G101" s="1" t="s">
        <v>897</v>
      </c>
      <c r="H101" s="1" t="s">
        <v>738</v>
      </c>
      <c r="I101" s="1" t="s">
        <v>813</v>
      </c>
      <c r="J101" s="4">
        <v>44378</v>
      </c>
      <c r="K101" s="2">
        <v>45865.374305555553</v>
      </c>
      <c r="L101" s="2">
        <v>45865.374305555553</v>
      </c>
      <c r="M101" s="1" t="s">
        <v>815</v>
      </c>
    </row>
    <row r="102" spans="1:13" x14ac:dyDescent="0.3">
      <c r="A102" s="1">
        <v>2021</v>
      </c>
      <c r="B102" t="s">
        <v>714</v>
      </c>
      <c r="C102" s="1" t="s">
        <v>965</v>
      </c>
      <c r="D102" s="1" t="s">
        <v>715</v>
      </c>
      <c r="E102" s="1" t="s">
        <v>795</v>
      </c>
      <c r="F102" s="1" t="s">
        <v>983</v>
      </c>
      <c r="G102" s="1" t="s">
        <v>794</v>
      </c>
      <c r="H102" s="1" t="s">
        <v>966</v>
      </c>
      <c r="I102" s="1" t="s">
        <v>982</v>
      </c>
      <c r="J102" s="4">
        <v>45261</v>
      </c>
      <c r="K102" s="2">
        <v>45865.38480324074</v>
      </c>
      <c r="L102" s="2">
        <v>45865.38480324074</v>
      </c>
      <c r="M102" s="1" t="s">
        <v>984</v>
      </c>
    </row>
    <row r="103" spans="1:13" x14ac:dyDescent="0.3">
      <c r="A103" s="1">
        <v>2024</v>
      </c>
      <c r="B103" t="s">
        <v>714</v>
      </c>
      <c r="C103" s="1" t="s">
        <v>965</v>
      </c>
      <c r="D103" s="1" t="s">
        <v>715</v>
      </c>
      <c r="E103" s="1" t="s">
        <v>1053</v>
      </c>
      <c r="F103" s="1" t="s">
        <v>1037</v>
      </c>
      <c r="G103" s="1" t="s">
        <v>1052</v>
      </c>
      <c r="H103" s="1" t="s">
        <v>966</v>
      </c>
      <c r="I103" s="1" t="s">
        <v>1036</v>
      </c>
      <c r="J103" s="4">
        <v>45444</v>
      </c>
      <c r="K103" s="2">
        <v>45865.374305555553</v>
      </c>
      <c r="L103" s="2">
        <v>45865.374305555553</v>
      </c>
      <c r="M103" s="1" t="s">
        <v>1038</v>
      </c>
    </row>
    <row r="104" spans="1:13" x14ac:dyDescent="0.3">
      <c r="A104" s="1">
        <v>2025</v>
      </c>
      <c r="B104" t="s">
        <v>714</v>
      </c>
      <c r="C104" s="1" t="s">
        <v>764</v>
      </c>
      <c r="D104" s="1" t="s">
        <v>722</v>
      </c>
      <c r="E104" s="1" t="s">
        <v>1376</v>
      </c>
      <c r="F104" s="1" t="s">
        <v>908</v>
      </c>
      <c r="G104" s="1" t="s">
        <v>1375</v>
      </c>
      <c r="H104" s="1" t="s">
        <v>765</v>
      </c>
      <c r="I104" s="1" t="s">
        <v>907</v>
      </c>
      <c r="J104" s="4">
        <v>44743</v>
      </c>
      <c r="K104" s="2">
        <v>45865.394490740742</v>
      </c>
      <c r="L104" s="2">
        <v>45865.394490740742</v>
      </c>
      <c r="M104" s="1" t="s">
        <v>909</v>
      </c>
    </row>
    <row r="105" spans="1:13" x14ac:dyDescent="0.3">
      <c r="A105" s="1">
        <v>2024</v>
      </c>
      <c r="B105" t="s">
        <v>714</v>
      </c>
      <c r="C105" s="1" t="s">
        <v>764</v>
      </c>
      <c r="D105" s="1" t="s">
        <v>715</v>
      </c>
      <c r="E105" s="1" t="s">
        <v>1234</v>
      </c>
      <c r="F105" s="1" t="s">
        <v>1154</v>
      </c>
      <c r="G105" s="1" t="s">
        <v>1233</v>
      </c>
      <c r="H105" s="1" t="s">
        <v>765</v>
      </c>
      <c r="I105" s="1" t="s">
        <v>1153</v>
      </c>
      <c r="J105" s="4">
        <v>45627</v>
      </c>
      <c r="K105" s="2">
        <v>45865.374305555553</v>
      </c>
      <c r="L105" s="2">
        <v>45865.374305555553</v>
      </c>
      <c r="M105" s="1" t="s">
        <v>1155</v>
      </c>
    </row>
    <row r="106" spans="1:13" x14ac:dyDescent="0.3">
      <c r="A106" s="1">
        <v>2020</v>
      </c>
      <c r="B106" t="s">
        <v>714</v>
      </c>
      <c r="C106" s="1" t="s">
        <v>764</v>
      </c>
      <c r="D106" s="1" t="s">
        <v>730</v>
      </c>
      <c r="E106" s="1" t="s">
        <v>732</v>
      </c>
      <c r="F106" s="1" t="s">
        <v>1401</v>
      </c>
      <c r="G106" s="1" t="s">
        <v>731</v>
      </c>
      <c r="H106" s="1" t="s">
        <v>765</v>
      </c>
      <c r="I106" s="1" t="s">
        <v>1400</v>
      </c>
      <c r="J106" s="4">
        <v>45658</v>
      </c>
      <c r="K106" s="2">
        <v>45865.374305555553</v>
      </c>
      <c r="L106" s="2">
        <v>45865.374305555553</v>
      </c>
      <c r="M106" s="1" t="s">
        <v>1402</v>
      </c>
    </row>
    <row r="107" spans="1:13" x14ac:dyDescent="0.3">
      <c r="A107" s="1">
        <v>2025</v>
      </c>
      <c r="B107" t="s">
        <v>714</v>
      </c>
      <c r="C107" s="1" t="s">
        <v>724</v>
      </c>
      <c r="D107" s="1" t="s">
        <v>1488</v>
      </c>
      <c r="E107" s="1" t="s">
        <v>1490</v>
      </c>
      <c r="F107" s="1" t="s">
        <v>744</v>
      </c>
      <c r="G107" s="1" t="s">
        <v>1489</v>
      </c>
      <c r="H107" s="1" t="s">
        <v>725</v>
      </c>
      <c r="I107" s="1" t="s">
        <v>743</v>
      </c>
      <c r="J107" s="4">
        <v>43952</v>
      </c>
      <c r="K107" s="2">
        <v>45865.38480324074</v>
      </c>
      <c r="L107" s="2">
        <v>45865.38480324074</v>
      </c>
      <c r="M107" s="1" t="s">
        <v>745</v>
      </c>
    </row>
    <row r="108" spans="1:13" x14ac:dyDescent="0.3">
      <c r="A108" s="1">
        <v>2025</v>
      </c>
      <c r="B108" t="s">
        <v>714</v>
      </c>
      <c r="C108" s="1" t="s">
        <v>724</v>
      </c>
      <c r="D108" s="1" t="s">
        <v>755</v>
      </c>
      <c r="E108" s="1" t="s">
        <v>1417</v>
      </c>
      <c r="F108" s="1" t="s">
        <v>895</v>
      </c>
      <c r="G108" s="1" t="s">
        <v>1416</v>
      </c>
      <c r="H108" s="1" t="s">
        <v>725</v>
      </c>
      <c r="I108" s="1" t="s">
        <v>894</v>
      </c>
      <c r="J108" s="4">
        <v>44805</v>
      </c>
      <c r="K108" s="2">
        <v>45865.38480324074</v>
      </c>
      <c r="L108" s="2">
        <v>45865.38480324074</v>
      </c>
      <c r="M108" s="1" t="s">
        <v>896</v>
      </c>
    </row>
    <row r="109" spans="1:13" x14ac:dyDescent="0.3">
      <c r="A109" s="1">
        <v>2024</v>
      </c>
      <c r="B109" t="s">
        <v>714</v>
      </c>
      <c r="C109" s="1" t="s">
        <v>724</v>
      </c>
      <c r="D109" s="1" t="s">
        <v>715</v>
      </c>
      <c r="E109" s="1" t="s">
        <v>1172</v>
      </c>
      <c r="F109" s="1" t="s">
        <v>1121</v>
      </c>
      <c r="G109" s="1" t="s">
        <v>1171</v>
      </c>
      <c r="H109" s="1" t="s">
        <v>725</v>
      </c>
      <c r="I109" s="1" t="s">
        <v>1120</v>
      </c>
      <c r="J109" s="4">
        <v>45505</v>
      </c>
      <c r="K109" s="2">
        <v>45865.374305555553</v>
      </c>
      <c r="L109" s="2">
        <v>45865.374305555553</v>
      </c>
      <c r="M109" s="1" t="s">
        <v>1122</v>
      </c>
    </row>
    <row r="110" spans="1:13" x14ac:dyDescent="0.3">
      <c r="A110" s="1">
        <v>2024</v>
      </c>
      <c r="B110" t="s">
        <v>714</v>
      </c>
      <c r="C110" s="1" t="s">
        <v>724</v>
      </c>
      <c r="D110" s="1" t="s">
        <v>715</v>
      </c>
      <c r="E110" s="1" t="s">
        <v>1274</v>
      </c>
      <c r="F110" s="1" t="s">
        <v>1176</v>
      </c>
      <c r="G110" s="1" t="s">
        <v>1273</v>
      </c>
      <c r="H110" s="1" t="s">
        <v>725</v>
      </c>
      <c r="I110" s="1" t="s">
        <v>1175</v>
      </c>
      <c r="J110" s="4">
        <v>45292</v>
      </c>
      <c r="K110" s="2">
        <v>45865.374305555553</v>
      </c>
      <c r="L110" s="2">
        <v>45865.374305555553</v>
      </c>
      <c r="M110" s="1" t="s">
        <v>1177</v>
      </c>
    </row>
    <row r="111" spans="1:13" x14ac:dyDescent="0.3">
      <c r="A111" s="1">
        <v>2024</v>
      </c>
      <c r="B111" t="s">
        <v>714</v>
      </c>
      <c r="C111" s="1" t="s">
        <v>724</v>
      </c>
      <c r="D111" s="1" t="s">
        <v>715</v>
      </c>
      <c r="E111" s="1" t="s">
        <v>1295</v>
      </c>
      <c r="F111" s="1" t="s">
        <v>1201</v>
      </c>
      <c r="G111" s="1" t="s">
        <v>1294</v>
      </c>
      <c r="H111" s="1" t="s">
        <v>725</v>
      </c>
      <c r="I111" s="1" t="s">
        <v>1200</v>
      </c>
      <c r="J111" s="4">
        <v>45292</v>
      </c>
      <c r="K111" s="2">
        <v>45865.374305555553</v>
      </c>
      <c r="L111" s="2">
        <v>45865.374305555553</v>
      </c>
      <c r="M111" s="1" t="s">
        <v>1202</v>
      </c>
    </row>
    <row r="112" spans="1:13" x14ac:dyDescent="0.3">
      <c r="A112" s="1">
        <v>2024</v>
      </c>
      <c r="B112" t="s">
        <v>714</v>
      </c>
      <c r="C112" s="1" t="s">
        <v>724</v>
      </c>
      <c r="D112" s="1" t="s">
        <v>715</v>
      </c>
      <c r="E112" s="1" t="s">
        <v>1302</v>
      </c>
      <c r="F112" s="1" t="s">
        <v>1211</v>
      </c>
      <c r="G112" s="1" t="s">
        <v>1301</v>
      </c>
      <c r="H112" s="1" t="s">
        <v>725</v>
      </c>
      <c r="I112" s="1" t="s">
        <v>1210</v>
      </c>
      <c r="J112" s="4">
        <v>45292</v>
      </c>
      <c r="K112" s="2">
        <v>45865.374305555553</v>
      </c>
      <c r="L112" s="2">
        <v>45865.374305555553</v>
      </c>
      <c r="M112" s="1" t="s">
        <v>1212</v>
      </c>
    </row>
    <row r="113" spans="1:13" x14ac:dyDescent="0.3">
      <c r="A113" s="1">
        <v>2024</v>
      </c>
      <c r="B113" t="s">
        <v>714</v>
      </c>
      <c r="C113" s="1" t="s">
        <v>730</v>
      </c>
      <c r="D113" s="1" t="s">
        <v>1137</v>
      </c>
      <c r="E113" s="1" t="s">
        <v>1139</v>
      </c>
      <c r="F113" s="1" t="s">
        <v>735</v>
      </c>
      <c r="G113" s="1" t="s">
        <v>1138</v>
      </c>
      <c r="H113" s="1" t="s">
        <v>733</v>
      </c>
      <c r="I113" s="1" t="s">
        <v>734</v>
      </c>
      <c r="J113" s="4">
        <v>44166</v>
      </c>
      <c r="K113" s="2">
        <v>45865.38480324074</v>
      </c>
      <c r="L113" s="2">
        <v>45865.38480324074</v>
      </c>
      <c r="M113" s="1" t="s">
        <v>736</v>
      </c>
    </row>
    <row r="114" spans="1:13" x14ac:dyDescent="0.3">
      <c r="A114" s="1">
        <v>2025</v>
      </c>
      <c r="B114" t="s">
        <v>714</v>
      </c>
      <c r="C114" s="1" t="s">
        <v>730</v>
      </c>
      <c r="D114" s="1" t="s">
        <v>770</v>
      </c>
      <c r="E114" s="1" t="s">
        <v>1381</v>
      </c>
      <c r="F114" s="1" t="s">
        <v>781</v>
      </c>
      <c r="G114" s="1" t="s">
        <v>1380</v>
      </c>
      <c r="H114" s="1" t="s">
        <v>733</v>
      </c>
      <c r="I114" s="1" t="s">
        <v>780</v>
      </c>
      <c r="J114" s="4">
        <v>43831</v>
      </c>
      <c r="K114" s="2">
        <v>45865.395324074074</v>
      </c>
      <c r="L114" s="2">
        <v>45865.395324074074</v>
      </c>
      <c r="M114" s="1" t="s">
        <v>782</v>
      </c>
    </row>
    <row r="115" spans="1:13" x14ac:dyDescent="0.3">
      <c r="A115" s="1">
        <v>2025</v>
      </c>
      <c r="B115" t="s">
        <v>714</v>
      </c>
      <c r="C115" s="1" t="s">
        <v>730</v>
      </c>
      <c r="D115" s="1" t="s">
        <v>1426</v>
      </c>
      <c r="E115" s="1" t="s">
        <v>1428</v>
      </c>
      <c r="F115" s="1" t="s">
        <v>835</v>
      </c>
      <c r="G115" s="1" t="s">
        <v>1427</v>
      </c>
      <c r="H115" s="1" t="s">
        <v>733</v>
      </c>
      <c r="I115" s="1" t="s">
        <v>834</v>
      </c>
      <c r="J115" s="4">
        <v>44470</v>
      </c>
      <c r="K115" s="2">
        <v>45865.394490740742</v>
      </c>
      <c r="L115" s="2">
        <v>45865.394490740742</v>
      </c>
      <c r="M115" s="1" t="s">
        <v>836</v>
      </c>
    </row>
    <row r="116" spans="1:13" x14ac:dyDescent="0.3">
      <c r="A116" s="1">
        <v>2024</v>
      </c>
      <c r="B116" t="s">
        <v>714</v>
      </c>
      <c r="C116" s="1" t="s">
        <v>730</v>
      </c>
      <c r="D116" s="1" t="s">
        <v>1081</v>
      </c>
      <c r="E116" s="1" t="s">
        <v>1083</v>
      </c>
      <c r="F116" s="1" t="s">
        <v>840</v>
      </c>
      <c r="G116" s="1" t="s">
        <v>1082</v>
      </c>
      <c r="H116" s="1" t="s">
        <v>733</v>
      </c>
      <c r="I116" s="1" t="s">
        <v>839</v>
      </c>
      <c r="J116" s="4">
        <v>44317</v>
      </c>
      <c r="K116" s="2">
        <v>45865.394490740742</v>
      </c>
      <c r="L116" s="2">
        <v>45865.394490740742</v>
      </c>
      <c r="M116" s="1" t="s">
        <v>841</v>
      </c>
    </row>
    <row r="117" spans="1:13" x14ac:dyDescent="0.3">
      <c r="A117" s="1">
        <v>2021</v>
      </c>
      <c r="B117" t="s">
        <v>714</v>
      </c>
      <c r="C117" s="1" t="s">
        <v>730</v>
      </c>
      <c r="D117" s="1" t="s">
        <v>755</v>
      </c>
      <c r="E117" s="1" t="s">
        <v>845</v>
      </c>
      <c r="F117" s="1" t="s">
        <v>864</v>
      </c>
      <c r="G117" s="1" t="s">
        <v>844</v>
      </c>
      <c r="H117" s="1" t="s">
        <v>733</v>
      </c>
      <c r="I117" s="1" t="s">
        <v>863</v>
      </c>
      <c r="J117" s="4">
        <v>44743</v>
      </c>
      <c r="K117" s="2">
        <v>45865.374305555553</v>
      </c>
      <c r="L117" s="2">
        <v>45865.374305555553</v>
      </c>
      <c r="M117" s="1" t="s">
        <v>865</v>
      </c>
    </row>
    <row r="118" spans="1:13" x14ac:dyDescent="0.3">
      <c r="A118" s="1">
        <v>2024</v>
      </c>
      <c r="B118" t="s">
        <v>714</v>
      </c>
      <c r="C118" s="1" t="s">
        <v>730</v>
      </c>
      <c r="D118" s="1" t="s">
        <v>880</v>
      </c>
      <c r="E118" s="1" t="s">
        <v>1179</v>
      </c>
      <c r="F118" s="1" t="s">
        <v>918</v>
      </c>
      <c r="G118" s="1" t="s">
        <v>1178</v>
      </c>
      <c r="H118" s="1" t="s">
        <v>733</v>
      </c>
      <c r="I118" s="1" t="s">
        <v>917</v>
      </c>
      <c r="J118" s="4">
        <v>44682</v>
      </c>
      <c r="K118" s="2">
        <v>45865.394502314812</v>
      </c>
      <c r="L118" s="2">
        <v>45865.394502314812</v>
      </c>
      <c r="M118" s="1" t="s">
        <v>919</v>
      </c>
    </row>
    <row r="119" spans="1:13" x14ac:dyDescent="0.3">
      <c r="A119" s="1">
        <v>2021</v>
      </c>
      <c r="B119" t="s">
        <v>714</v>
      </c>
      <c r="C119" s="1" t="s">
        <v>730</v>
      </c>
      <c r="D119" s="1" t="s">
        <v>715</v>
      </c>
      <c r="E119" s="1" t="s">
        <v>823</v>
      </c>
      <c r="F119" s="1" t="s">
        <v>992</v>
      </c>
      <c r="G119" s="1" t="s">
        <v>822</v>
      </c>
      <c r="H119" s="1" t="s">
        <v>733</v>
      </c>
      <c r="I119" s="1" t="s">
        <v>991</v>
      </c>
      <c r="J119" s="4">
        <v>45017</v>
      </c>
      <c r="K119" s="2">
        <v>45865.384814814817</v>
      </c>
      <c r="L119" s="2">
        <v>45865.384814814817</v>
      </c>
      <c r="M119" s="1" t="s">
        <v>993</v>
      </c>
    </row>
    <row r="120" spans="1:13" x14ac:dyDescent="0.3">
      <c r="A120" s="1">
        <v>2022</v>
      </c>
      <c r="B120" t="s">
        <v>714</v>
      </c>
      <c r="C120" s="1" t="s">
        <v>730</v>
      </c>
      <c r="D120" s="1" t="s">
        <v>724</v>
      </c>
      <c r="E120" s="1" t="s">
        <v>899</v>
      </c>
      <c r="F120" s="1" t="s">
        <v>1363</v>
      </c>
      <c r="G120" s="1" t="s">
        <v>891</v>
      </c>
      <c r="H120" s="1" t="s">
        <v>733</v>
      </c>
      <c r="I120" s="1" t="s">
        <v>1362</v>
      </c>
      <c r="J120" s="4">
        <v>45717</v>
      </c>
      <c r="K120" s="2">
        <v>45865.374305555553</v>
      </c>
      <c r="L120" s="2">
        <v>45865.374305555553</v>
      </c>
      <c r="M120" s="1" t="s">
        <v>1364</v>
      </c>
    </row>
    <row r="121" spans="1:13" x14ac:dyDescent="0.3">
      <c r="A121" s="1">
        <v>2024</v>
      </c>
      <c r="B121" t="s">
        <v>714</v>
      </c>
      <c r="C121" s="1" t="s">
        <v>730</v>
      </c>
      <c r="D121" s="1" t="s">
        <v>853</v>
      </c>
      <c r="E121" s="1" t="s">
        <v>1133</v>
      </c>
      <c r="F121" s="1" t="s">
        <v>1484</v>
      </c>
      <c r="G121" s="1" t="s">
        <v>163</v>
      </c>
      <c r="H121" s="1" t="s">
        <v>733</v>
      </c>
      <c r="I121" s="1" t="s">
        <v>1483</v>
      </c>
      <c r="J121" s="4">
        <v>45778</v>
      </c>
      <c r="K121" s="2">
        <v>45865.394490740742</v>
      </c>
      <c r="L121" s="2">
        <v>45865.394490740742</v>
      </c>
      <c r="M121" s="1" t="s">
        <v>1485</v>
      </c>
    </row>
    <row r="122" spans="1:13" x14ac:dyDescent="0.3">
      <c r="A122" s="1">
        <v>2025</v>
      </c>
      <c r="B122" t="s">
        <v>714</v>
      </c>
      <c r="C122" s="1" t="s">
        <v>778</v>
      </c>
      <c r="D122" s="1" t="s">
        <v>1462</v>
      </c>
      <c r="E122" s="1" t="s">
        <v>1464</v>
      </c>
      <c r="F122" s="1" t="s">
        <v>938</v>
      </c>
      <c r="G122" s="1" t="s">
        <v>1463</v>
      </c>
      <c r="H122" s="1" t="s">
        <v>779</v>
      </c>
      <c r="I122" s="1" t="s">
        <v>937</v>
      </c>
      <c r="J122" s="4">
        <v>45200</v>
      </c>
      <c r="K122" s="2">
        <v>45865.374305555553</v>
      </c>
      <c r="L122" s="2">
        <v>45865.374305555553</v>
      </c>
      <c r="M122" s="1" t="s">
        <v>939</v>
      </c>
    </row>
    <row r="123" spans="1:13" x14ac:dyDescent="0.3">
      <c r="A123" s="1">
        <v>2024</v>
      </c>
      <c r="B123" t="s">
        <v>714</v>
      </c>
      <c r="C123" s="1" t="s">
        <v>778</v>
      </c>
      <c r="D123" s="1" t="s">
        <v>715</v>
      </c>
      <c r="E123" s="1" t="s">
        <v>1283</v>
      </c>
      <c r="F123" s="1" t="s">
        <v>1186</v>
      </c>
      <c r="G123" s="1" t="s">
        <v>1282</v>
      </c>
      <c r="H123" s="1" t="s">
        <v>779</v>
      </c>
      <c r="I123" s="1" t="s">
        <v>1185</v>
      </c>
      <c r="J123" s="4">
        <v>45413</v>
      </c>
      <c r="K123" s="2">
        <v>45865.374305555553</v>
      </c>
      <c r="L123" s="2">
        <v>45865.374305555553</v>
      </c>
      <c r="M123" s="1" t="s">
        <v>1187</v>
      </c>
    </row>
    <row r="124" spans="1:13" x14ac:dyDescent="0.3">
      <c r="A124" s="1">
        <v>2020</v>
      </c>
      <c r="B124" t="s">
        <v>714</v>
      </c>
      <c r="C124" s="1" t="s">
        <v>848</v>
      </c>
      <c r="D124" s="1" t="s">
        <v>755</v>
      </c>
      <c r="E124" s="1" t="s">
        <v>757</v>
      </c>
      <c r="F124" s="1" t="s">
        <v>851</v>
      </c>
      <c r="G124" s="1" t="s">
        <v>756</v>
      </c>
      <c r="H124" s="1" t="s">
        <v>849</v>
      </c>
      <c r="I124" s="1" t="s">
        <v>850</v>
      </c>
      <c r="J124" s="4">
        <v>44270</v>
      </c>
      <c r="K124" s="2">
        <v>45865.395324074074</v>
      </c>
      <c r="L124" s="2">
        <v>45865.395324074074</v>
      </c>
      <c r="M124" s="1" t="s">
        <v>852</v>
      </c>
    </row>
    <row r="125" spans="1:13" x14ac:dyDescent="0.3">
      <c r="A125" s="1">
        <v>2025</v>
      </c>
      <c r="B125" t="s">
        <v>714</v>
      </c>
      <c r="C125" s="1" t="s">
        <v>848</v>
      </c>
      <c r="D125" s="1" t="s">
        <v>715</v>
      </c>
      <c r="E125" s="1" t="s">
        <v>1338</v>
      </c>
      <c r="F125" s="1" t="s">
        <v>1244</v>
      </c>
      <c r="G125" s="1" t="s">
        <v>1337</v>
      </c>
      <c r="H125" s="1" t="s">
        <v>849</v>
      </c>
      <c r="I125" s="1" t="s">
        <v>1243</v>
      </c>
      <c r="J125" s="4">
        <v>45621</v>
      </c>
      <c r="K125" s="2">
        <v>45865.374305555553</v>
      </c>
      <c r="L125" s="2">
        <v>45865.374305555553</v>
      </c>
      <c r="M125" s="1" t="s">
        <v>1245</v>
      </c>
    </row>
    <row r="126" spans="1:13" x14ac:dyDescent="0.3">
      <c r="A126" s="1">
        <v>2022</v>
      </c>
      <c r="B126" t="s">
        <v>714</v>
      </c>
      <c r="C126" s="1" t="s">
        <v>994</v>
      </c>
      <c r="D126" s="1" t="s">
        <v>730</v>
      </c>
      <c r="E126" s="1" t="s">
        <v>883</v>
      </c>
      <c r="F126" s="1" t="s">
        <v>1435</v>
      </c>
      <c r="G126" s="1" t="s">
        <v>882</v>
      </c>
      <c r="H126" s="1" t="s">
        <v>995</v>
      </c>
      <c r="I126" s="1" t="s">
        <v>1434</v>
      </c>
      <c r="J126" s="4">
        <v>45717</v>
      </c>
      <c r="K126" s="2">
        <v>45865.374305555553</v>
      </c>
      <c r="L126" s="2">
        <v>45865.374305555553</v>
      </c>
      <c r="M126" s="1" t="s">
        <v>1436</v>
      </c>
    </row>
    <row r="127" spans="1:13" x14ac:dyDescent="0.3">
      <c r="A127" s="1">
        <v>2020</v>
      </c>
      <c r="B127" t="s">
        <v>714</v>
      </c>
      <c r="C127" s="1" t="s">
        <v>853</v>
      </c>
      <c r="D127" s="1" t="s">
        <v>715</v>
      </c>
      <c r="E127" s="1" t="s">
        <v>747</v>
      </c>
      <c r="F127" s="1" t="s">
        <v>980</v>
      </c>
      <c r="G127" s="1" t="s">
        <v>746</v>
      </c>
      <c r="H127" s="1" t="s">
        <v>854</v>
      </c>
      <c r="I127" s="1" t="s">
        <v>979</v>
      </c>
      <c r="J127" s="4">
        <v>45078</v>
      </c>
      <c r="K127" s="2">
        <v>45865.38480324074</v>
      </c>
      <c r="L127" s="2">
        <v>45865.38480324074</v>
      </c>
      <c r="M127" s="1" t="s">
        <v>981</v>
      </c>
    </row>
    <row r="128" spans="1:13" x14ac:dyDescent="0.3">
      <c r="A128" s="1">
        <v>2024</v>
      </c>
      <c r="B128" t="s">
        <v>714</v>
      </c>
      <c r="C128" s="1" t="s">
        <v>853</v>
      </c>
      <c r="D128" s="1" t="s">
        <v>715</v>
      </c>
      <c r="E128" s="1" t="s">
        <v>1214</v>
      </c>
      <c r="F128" s="1" t="s">
        <v>1135</v>
      </c>
      <c r="G128" s="1" t="s">
        <v>1213</v>
      </c>
      <c r="H128" s="1" t="s">
        <v>854</v>
      </c>
      <c r="I128" s="1" t="s">
        <v>1134</v>
      </c>
      <c r="J128" s="4">
        <v>45413</v>
      </c>
      <c r="K128" s="2">
        <v>45865.374305555553</v>
      </c>
      <c r="L128" s="2">
        <v>45865.374305555553</v>
      </c>
      <c r="M128" s="1" t="s">
        <v>1136</v>
      </c>
    </row>
    <row r="129" spans="1:13" x14ac:dyDescent="0.3">
      <c r="A129" s="1">
        <v>2021</v>
      </c>
      <c r="B129" t="s">
        <v>714</v>
      </c>
      <c r="C129" s="1" t="s">
        <v>793</v>
      </c>
      <c r="D129" s="1" t="s">
        <v>755</v>
      </c>
      <c r="E129" s="1" t="s">
        <v>843</v>
      </c>
      <c r="F129" s="1" t="s">
        <v>859</v>
      </c>
      <c r="G129" s="1" t="s">
        <v>842</v>
      </c>
      <c r="H129" s="1" t="s">
        <v>792</v>
      </c>
      <c r="I129" s="1" t="s">
        <v>858</v>
      </c>
      <c r="J129" s="4">
        <v>44562</v>
      </c>
      <c r="K129" s="2">
        <v>45865.374305555553</v>
      </c>
      <c r="L129" s="2">
        <v>45865.374305555553</v>
      </c>
      <c r="M129" s="1" t="s">
        <v>860</v>
      </c>
    </row>
    <row r="130" spans="1:13" x14ac:dyDescent="0.3">
      <c r="A130" s="1">
        <v>2025</v>
      </c>
      <c r="B130" t="s">
        <v>714</v>
      </c>
      <c r="C130" s="1" t="s">
        <v>793</v>
      </c>
      <c r="D130" s="1" t="s">
        <v>880</v>
      </c>
      <c r="E130" s="1" t="s">
        <v>1389</v>
      </c>
      <c r="F130" s="1" t="s">
        <v>926</v>
      </c>
      <c r="G130" s="1" t="s">
        <v>1388</v>
      </c>
      <c r="H130" s="1" t="s">
        <v>792</v>
      </c>
      <c r="I130" s="1" t="s">
        <v>925</v>
      </c>
      <c r="J130" s="4">
        <v>44562</v>
      </c>
      <c r="K130" s="2">
        <v>45865.395324074074</v>
      </c>
      <c r="L130" s="2">
        <v>45865.395324074074</v>
      </c>
      <c r="M130" s="1" t="s">
        <v>927</v>
      </c>
    </row>
    <row r="131" spans="1:13" x14ac:dyDescent="0.3">
      <c r="A131" s="1">
        <v>2020</v>
      </c>
      <c r="B131" t="s">
        <v>714</v>
      </c>
      <c r="C131" s="1" t="s">
        <v>793</v>
      </c>
      <c r="D131" s="1" t="s">
        <v>783</v>
      </c>
      <c r="E131" s="1" t="s">
        <v>785</v>
      </c>
      <c r="F131" s="1" t="s">
        <v>946</v>
      </c>
      <c r="G131" s="1" t="s">
        <v>784</v>
      </c>
      <c r="H131" s="1" t="s">
        <v>792</v>
      </c>
      <c r="I131" s="1" t="s">
        <v>945</v>
      </c>
      <c r="J131" s="4">
        <v>44927</v>
      </c>
      <c r="K131" s="2">
        <v>45865.374305555553</v>
      </c>
      <c r="L131" s="2">
        <v>45865.374305555553</v>
      </c>
      <c r="M131" s="1" t="s">
        <v>947</v>
      </c>
    </row>
    <row r="132" spans="1:13" x14ac:dyDescent="0.3">
      <c r="A132" s="1">
        <v>2025</v>
      </c>
      <c r="B132" t="s">
        <v>714</v>
      </c>
      <c r="C132" s="1" t="s">
        <v>793</v>
      </c>
      <c r="D132" s="1" t="s">
        <v>1471</v>
      </c>
      <c r="E132" s="1" t="s">
        <v>1473</v>
      </c>
      <c r="F132" s="1" t="s">
        <v>952</v>
      </c>
      <c r="G132" s="1" t="s">
        <v>1472</v>
      </c>
      <c r="H132" s="1" t="s">
        <v>792</v>
      </c>
      <c r="I132" s="1" t="s">
        <v>951</v>
      </c>
      <c r="J132" s="4">
        <v>44927</v>
      </c>
      <c r="K132" s="2">
        <v>45865.374305555553</v>
      </c>
      <c r="L132" s="2">
        <v>45865.374305555553</v>
      </c>
      <c r="M132" s="1" t="s">
        <v>953</v>
      </c>
    </row>
    <row r="133" spans="1:13" x14ac:dyDescent="0.3">
      <c r="A133" s="1">
        <v>2024</v>
      </c>
      <c r="B133" t="s">
        <v>714</v>
      </c>
      <c r="C133" s="1" t="s">
        <v>793</v>
      </c>
      <c r="D133" s="1" t="s">
        <v>715</v>
      </c>
      <c r="E133" s="1" t="s">
        <v>1219</v>
      </c>
      <c r="F133" s="1" t="s">
        <v>1141</v>
      </c>
      <c r="G133" s="1" t="s">
        <v>1218</v>
      </c>
      <c r="H133" s="1" t="s">
        <v>792</v>
      </c>
      <c r="I133" s="1" t="s">
        <v>1140</v>
      </c>
      <c r="J133" s="4">
        <v>45292</v>
      </c>
      <c r="K133" s="2">
        <v>45865.374305555553</v>
      </c>
      <c r="L133" s="2">
        <v>45865.374305555553</v>
      </c>
      <c r="M133" s="1" t="s">
        <v>1142</v>
      </c>
    </row>
    <row r="134" spans="1:13" x14ac:dyDescent="0.3">
      <c r="A134" s="1">
        <v>2025</v>
      </c>
      <c r="B134" t="s">
        <v>714</v>
      </c>
      <c r="C134" s="1" t="s">
        <v>793</v>
      </c>
      <c r="D134" s="1" t="s">
        <v>715</v>
      </c>
      <c r="E134" s="1" t="s">
        <v>1444</v>
      </c>
      <c r="F134" s="1" t="s">
        <v>1265</v>
      </c>
      <c r="G134" s="1" t="s">
        <v>930</v>
      </c>
      <c r="H134" s="1" t="s">
        <v>792</v>
      </c>
      <c r="I134" s="1" t="s">
        <v>1264</v>
      </c>
      <c r="J134" s="4">
        <v>45292</v>
      </c>
      <c r="K134" s="2">
        <v>45865.38480324074</v>
      </c>
      <c r="L134" s="2">
        <v>45865.38480324074</v>
      </c>
      <c r="M134" s="1" t="s">
        <v>1266</v>
      </c>
    </row>
    <row r="135" spans="1:13" x14ac:dyDescent="0.3">
      <c r="A135" s="1">
        <v>2020</v>
      </c>
      <c r="B135" t="s">
        <v>714</v>
      </c>
      <c r="C135" s="1" t="s">
        <v>793</v>
      </c>
      <c r="D135" s="1" t="s">
        <v>724</v>
      </c>
      <c r="E135" s="1" t="s">
        <v>729</v>
      </c>
      <c r="F135" s="1" t="s">
        <v>1351</v>
      </c>
      <c r="G135" s="1" t="s">
        <v>728</v>
      </c>
      <c r="H135" s="1" t="s">
        <v>792</v>
      </c>
      <c r="I135" s="1" t="s">
        <v>1350</v>
      </c>
      <c r="J135" s="4">
        <v>45658</v>
      </c>
      <c r="K135" s="2">
        <v>45865.374305555553</v>
      </c>
      <c r="L135" s="2">
        <v>45865.374305555553</v>
      </c>
      <c r="M135" s="1" t="s">
        <v>1352</v>
      </c>
    </row>
    <row r="136" spans="1:13" x14ac:dyDescent="0.3">
      <c r="A136" s="1">
        <v>2022</v>
      </c>
      <c r="B136" t="s">
        <v>714</v>
      </c>
      <c r="C136" s="1" t="s">
        <v>793</v>
      </c>
      <c r="D136" s="1" t="s">
        <v>730</v>
      </c>
      <c r="E136" s="1" t="s">
        <v>862</v>
      </c>
      <c r="F136" s="1" t="s">
        <v>1430</v>
      </c>
      <c r="G136" s="1" t="s">
        <v>861</v>
      </c>
      <c r="H136" s="1" t="s">
        <v>792</v>
      </c>
      <c r="I136" s="1" t="s">
        <v>1429</v>
      </c>
      <c r="J136" s="4">
        <v>45658</v>
      </c>
      <c r="K136" s="2">
        <v>45865.374305555553</v>
      </c>
      <c r="L136" s="2">
        <v>45865.374305555553</v>
      </c>
      <c r="M136" s="1" t="s">
        <v>1431</v>
      </c>
    </row>
    <row r="137" spans="1:13" x14ac:dyDescent="0.3">
      <c r="A137" s="1">
        <v>2025</v>
      </c>
      <c r="B137" t="s">
        <v>714</v>
      </c>
      <c r="C137" s="1" t="s">
        <v>1465</v>
      </c>
      <c r="D137" s="1" t="s">
        <v>848</v>
      </c>
      <c r="E137" s="1" t="s">
        <v>1449</v>
      </c>
      <c r="F137" s="1" t="s">
        <v>1469</v>
      </c>
      <c r="G137" s="1" t="s">
        <v>1448</v>
      </c>
      <c r="H137" s="1" t="s">
        <v>1467</v>
      </c>
      <c r="I137" s="1" t="s">
        <v>1468</v>
      </c>
      <c r="J137" s="4">
        <v>45689</v>
      </c>
      <c r="K137" s="2">
        <v>45865.384814814817</v>
      </c>
      <c r="L137" s="2">
        <v>45865.384814814817</v>
      </c>
      <c r="M137" s="1" t="s">
        <v>1470</v>
      </c>
    </row>
    <row r="138" spans="1:13" x14ac:dyDescent="0.3">
      <c r="A138" s="1">
        <v>2021</v>
      </c>
      <c r="B138" t="s">
        <v>714</v>
      </c>
      <c r="C138" s="1" t="s">
        <v>790</v>
      </c>
      <c r="D138" s="1" t="s">
        <v>715</v>
      </c>
      <c r="E138" s="1" t="s">
        <v>807</v>
      </c>
      <c r="F138" s="1" t="s">
        <v>986</v>
      </c>
      <c r="G138" s="1" t="s">
        <v>806</v>
      </c>
      <c r="H138" s="1" t="s">
        <v>791</v>
      </c>
      <c r="I138" s="1" t="s">
        <v>985</v>
      </c>
      <c r="J138" s="4">
        <v>45017</v>
      </c>
      <c r="K138" s="2">
        <v>45865.384814814817</v>
      </c>
      <c r="L138" s="2">
        <v>45865.384814814817</v>
      </c>
      <c r="M138" s="1" t="s">
        <v>987</v>
      </c>
    </row>
  </sheetData>
  <sortState xmlns:xlrd2="http://schemas.microsoft.com/office/spreadsheetml/2017/richdata2" ref="A2:M138">
    <sortCondition ref="C1:C13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01D0-47EB-48BC-B1D3-C26C86FDCAD9}">
  <dimension ref="A1:N154"/>
  <sheetViews>
    <sheetView workbookViewId="0">
      <selection activeCell="O2" sqref="O2"/>
    </sheetView>
  </sheetViews>
  <sheetFormatPr defaultRowHeight="14.4" x14ac:dyDescent="0.3"/>
  <cols>
    <col min="1" max="1" width="5" bestFit="1" customWidth="1"/>
    <col min="3" max="3" width="39.33203125" customWidth="1"/>
    <col min="4" max="4" width="29" customWidth="1"/>
    <col min="5" max="5" width="9.44140625" customWidth="1"/>
    <col min="12" max="12" width="13" customWidth="1"/>
    <col min="13" max="13" width="14.5546875" bestFit="1" customWidth="1"/>
    <col min="14" max="14" width="18.88671875" bestFit="1" customWidth="1"/>
  </cols>
  <sheetData>
    <row r="1" spans="1:14" x14ac:dyDescent="0.3">
      <c r="A1" t="s">
        <v>1494</v>
      </c>
      <c r="B1" t="s">
        <v>1499</v>
      </c>
      <c r="C1" t="s">
        <v>1495</v>
      </c>
      <c r="D1" t="s">
        <v>4</v>
      </c>
      <c r="E1" t="s">
        <v>335</v>
      </c>
      <c r="F1" t="s">
        <v>333</v>
      </c>
      <c r="G1" t="s">
        <v>1492</v>
      </c>
      <c r="H1" t="s">
        <v>1493</v>
      </c>
      <c r="I1" t="s">
        <v>1496</v>
      </c>
      <c r="J1" t="s">
        <v>6</v>
      </c>
      <c r="K1" t="s">
        <v>337</v>
      </c>
      <c r="L1" t="s">
        <v>1497</v>
      </c>
      <c r="M1" t="s">
        <v>1498</v>
      </c>
      <c r="N1" t="s">
        <v>1500</v>
      </c>
    </row>
    <row r="2" spans="1:14" x14ac:dyDescent="0.3">
      <c r="A2">
        <v>2018</v>
      </c>
      <c r="B2" t="s">
        <v>1503</v>
      </c>
      <c r="C2" t="s">
        <v>1753</v>
      </c>
      <c r="D2" t="s">
        <v>2693</v>
      </c>
      <c r="E2" t="s">
        <v>2695</v>
      </c>
      <c r="F2" t="s">
        <v>2690</v>
      </c>
      <c r="G2" t="s">
        <v>2691</v>
      </c>
      <c r="H2" t="s">
        <v>2692</v>
      </c>
      <c r="I2">
        <v>24</v>
      </c>
      <c r="J2" t="s">
        <v>2694</v>
      </c>
      <c r="K2" t="s">
        <v>2696</v>
      </c>
      <c r="M2" t="s">
        <v>1502</v>
      </c>
      <c r="N2" t="s">
        <v>2697</v>
      </c>
    </row>
    <row r="3" spans="1:14" x14ac:dyDescent="0.3">
      <c r="A3">
        <v>2018</v>
      </c>
      <c r="B3" t="s">
        <v>1503</v>
      </c>
      <c r="C3" t="s">
        <v>715</v>
      </c>
      <c r="D3" t="s">
        <v>2709</v>
      </c>
      <c r="E3" t="s">
        <v>2711</v>
      </c>
      <c r="F3" t="s">
        <v>2706</v>
      </c>
      <c r="G3" t="s">
        <v>2707</v>
      </c>
      <c r="H3" t="s">
        <v>2708</v>
      </c>
      <c r="I3">
        <v>11</v>
      </c>
      <c r="J3" t="s">
        <v>2710</v>
      </c>
      <c r="K3" t="s">
        <v>2712</v>
      </c>
      <c r="L3" t="s">
        <v>2713</v>
      </c>
      <c r="M3" t="s">
        <v>1502</v>
      </c>
      <c r="N3" t="s">
        <v>2714</v>
      </c>
    </row>
    <row r="4" spans="1:14" x14ac:dyDescent="0.3">
      <c r="A4">
        <v>2019</v>
      </c>
      <c r="B4" t="s">
        <v>1503</v>
      </c>
      <c r="C4" t="s">
        <v>715</v>
      </c>
      <c r="D4" t="s">
        <v>2735</v>
      </c>
      <c r="E4" t="s">
        <v>2737</v>
      </c>
      <c r="F4" t="s">
        <v>2732</v>
      </c>
      <c r="G4" t="s">
        <v>2733</v>
      </c>
      <c r="H4" t="s">
        <v>2734</v>
      </c>
      <c r="I4">
        <v>47</v>
      </c>
      <c r="J4" t="s">
        <v>2736</v>
      </c>
      <c r="K4" t="s">
        <v>2738</v>
      </c>
      <c r="L4" t="s">
        <v>2739</v>
      </c>
      <c r="M4" t="s">
        <v>1502</v>
      </c>
      <c r="N4" t="s">
        <v>2740</v>
      </c>
    </row>
    <row r="5" spans="1:14" x14ac:dyDescent="0.3">
      <c r="A5">
        <v>2019</v>
      </c>
      <c r="B5" t="s">
        <v>1503</v>
      </c>
      <c r="C5" t="s">
        <v>1585</v>
      </c>
      <c r="D5" t="s">
        <v>2726</v>
      </c>
      <c r="E5" t="s">
        <v>2728</v>
      </c>
      <c r="F5" t="s">
        <v>2723</v>
      </c>
      <c r="G5" t="s">
        <v>2724</v>
      </c>
      <c r="H5" t="s">
        <v>2725</v>
      </c>
      <c r="I5">
        <v>50</v>
      </c>
      <c r="J5" t="s">
        <v>2727</v>
      </c>
      <c r="K5" t="s">
        <v>2729</v>
      </c>
      <c r="L5" t="s">
        <v>2730</v>
      </c>
      <c r="M5" t="s">
        <v>1502</v>
      </c>
      <c r="N5" t="s">
        <v>2731</v>
      </c>
    </row>
    <row r="6" spans="1:14" x14ac:dyDescent="0.3">
      <c r="A6">
        <v>2020</v>
      </c>
      <c r="B6" t="s">
        <v>1503</v>
      </c>
      <c r="C6" t="s">
        <v>755</v>
      </c>
      <c r="D6" t="s">
        <v>766</v>
      </c>
      <c r="E6" t="s">
        <v>2627</v>
      </c>
      <c r="F6" t="s">
        <v>2624</v>
      </c>
      <c r="G6" t="s">
        <v>2625</v>
      </c>
      <c r="H6" t="s">
        <v>2626</v>
      </c>
      <c r="I6">
        <v>15</v>
      </c>
      <c r="J6" t="s">
        <v>767</v>
      </c>
      <c r="K6" t="s">
        <v>2628</v>
      </c>
      <c r="L6" t="s">
        <v>2629</v>
      </c>
      <c r="M6" t="s">
        <v>1502</v>
      </c>
      <c r="N6" t="s">
        <v>2630</v>
      </c>
    </row>
    <row r="7" spans="1:14" x14ac:dyDescent="0.3">
      <c r="A7">
        <v>2020</v>
      </c>
      <c r="B7" t="s">
        <v>1503</v>
      </c>
      <c r="C7" t="s">
        <v>755</v>
      </c>
      <c r="D7" t="s">
        <v>757</v>
      </c>
      <c r="E7" t="s">
        <v>2686</v>
      </c>
      <c r="F7" t="s">
        <v>2668</v>
      </c>
      <c r="G7" t="s">
        <v>2669</v>
      </c>
      <c r="H7" t="s">
        <v>2670</v>
      </c>
      <c r="I7">
        <v>21</v>
      </c>
      <c r="J7" t="s">
        <v>759</v>
      </c>
      <c r="K7" t="s">
        <v>2687</v>
      </c>
      <c r="L7" t="s">
        <v>2688</v>
      </c>
      <c r="M7" t="s">
        <v>1502</v>
      </c>
      <c r="N7" t="s">
        <v>2689</v>
      </c>
    </row>
    <row r="8" spans="1:14" x14ac:dyDescent="0.3">
      <c r="A8">
        <v>2020</v>
      </c>
      <c r="B8" t="s">
        <v>1503</v>
      </c>
      <c r="C8" t="s">
        <v>695</v>
      </c>
      <c r="D8" t="s">
        <v>2701</v>
      </c>
      <c r="E8" t="s">
        <v>2703</v>
      </c>
      <c r="F8" t="s">
        <v>2698</v>
      </c>
      <c r="G8" t="s">
        <v>2699</v>
      </c>
      <c r="H8" t="s">
        <v>2700</v>
      </c>
      <c r="I8">
        <v>1</v>
      </c>
      <c r="J8" t="s">
        <v>2702</v>
      </c>
      <c r="K8" t="s">
        <v>2704</v>
      </c>
      <c r="M8" t="s">
        <v>1502</v>
      </c>
      <c r="N8" t="s">
        <v>2705</v>
      </c>
    </row>
    <row r="9" spans="1:14" x14ac:dyDescent="0.3">
      <c r="A9">
        <v>2020</v>
      </c>
      <c r="B9" t="s">
        <v>1503</v>
      </c>
      <c r="C9" t="s">
        <v>2132</v>
      </c>
      <c r="D9" t="s">
        <v>2718</v>
      </c>
      <c r="E9" t="s">
        <v>2720</v>
      </c>
      <c r="F9" t="s">
        <v>2715</v>
      </c>
      <c r="G9" t="s">
        <v>2716</v>
      </c>
      <c r="H9" t="s">
        <v>2717</v>
      </c>
      <c r="I9">
        <v>3</v>
      </c>
      <c r="J9" t="s">
        <v>2719</v>
      </c>
      <c r="K9" t="s">
        <v>2721</v>
      </c>
      <c r="M9" t="s">
        <v>1502</v>
      </c>
      <c r="N9" t="s">
        <v>2722</v>
      </c>
    </row>
    <row r="10" spans="1:14" x14ac:dyDescent="0.3">
      <c r="A10">
        <v>2020</v>
      </c>
      <c r="B10" t="s">
        <v>1503</v>
      </c>
      <c r="C10" t="s">
        <v>730</v>
      </c>
      <c r="D10" t="s">
        <v>732</v>
      </c>
      <c r="E10" t="s">
        <v>2643</v>
      </c>
      <c r="F10" t="s">
        <v>2640</v>
      </c>
      <c r="G10" t="s">
        <v>2641</v>
      </c>
      <c r="H10" t="s">
        <v>2642</v>
      </c>
      <c r="I10">
        <v>78</v>
      </c>
      <c r="J10" t="s">
        <v>734</v>
      </c>
      <c r="K10" t="s">
        <v>2644</v>
      </c>
      <c r="L10" t="s">
        <v>2645</v>
      </c>
      <c r="M10" t="s">
        <v>1502</v>
      </c>
      <c r="N10" t="s">
        <v>2646</v>
      </c>
    </row>
    <row r="11" spans="1:14" x14ac:dyDescent="0.3">
      <c r="A11">
        <v>2020</v>
      </c>
      <c r="B11" t="s">
        <v>1503</v>
      </c>
      <c r="C11" t="s">
        <v>2513</v>
      </c>
      <c r="D11" t="s">
        <v>2744</v>
      </c>
      <c r="E11" t="s">
        <v>2745</v>
      </c>
      <c r="F11" t="s">
        <v>2741</v>
      </c>
      <c r="G11" t="s">
        <v>2742</v>
      </c>
      <c r="H11" t="s">
        <v>2743</v>
      </c>
      <c r="I11">
        <v>17</v>
      </c>
      <c r="J11" t="s">
        <v>21</v>
      </c>
      <c r="L11" t="s">
        <v>2746</v>
      </c>
      <c r="M11" t="s">
        <v>1502</v>
      </c>
      <c r="N11" t="s">
        <v>2747</v>
      </c>
    </row>
    <row r="12" spans="1:14" x14ac:dyDescent="0.3">
      <c r="A12">
        <v>2020</v>
      </c>
      <c r="B12" t="s">
        <v>1503</v>
      </c>
      <c r="C12" t="s">
        <v>1606</v>
      </c>
      <c r="D12" t="s">
        <v>2671</v>
      </c>
      <c r="E12" t="s">
        <v>2673</v>
      </c>
      <c r="F12" t="s">
        <v>2668</v>
      </c>
      <c r="G12" t="s">
        <v>2669</v>
      </c>
      <c r="H12" t="s">
        <v>2670</v>
      </c>
      <c r="I12">
        <v>24</v>
      </c>
      <c r="J12" t="s">
        <v>2672</v>
      </c>
      <c r="K12" t="s">
        <v>2674</v>
      </c>
      <c r="L12" t="s">
        <v>2675</v>
      </c>
      <c r="M12" t="s">
        <v>1502</v>
      </c>
      <c r="N12" t="s">
        <v>2676</v>
      </c>
    </row>
    <row r="13" spans="1:14" x14ac:dyDescent="0.3">
      <c r="A13">
        <v>2021</v>
      </c>
      <c r="B13" t="s">
        <v>1503</v>
      </c>
      <c r="C13" t="s">
        <v>1514</v>
      </c>
      <c r="D13" t="s">
        <v>2584</v>
      </c>
      <c r="E13" t="s">
        <v>2586</v>
      </c>
      <c r="F13" t="s">
        <v>2581</v>
      </c>
      <c r="G13" t="s">
        <v>2582</v>
      </c>
      <c r="H13" t="s">
        <v>2583</v>
      </c>
      <c r="I13">
        <v>3</v>
      </c>
      <c r="J13" t="s">
        <v>2585</v>
      </c>
      <c r="K13" t="s">
        <v>2587</v>
      </c>
      <c r="L13" t="s">
        <v>2588</v>
      </c>
      <c r="M13" t="s">
        <v>1502</v>
      </c>
      <c r="N13" t="s">
        <v>2589</v>
      </c>
    </row>
    <row r="14" spans="1:14" x14ac:dyDescent="0.3">
      <c r="A14">
        <v>2021</v>
      </c>
      <c r="B14" t="s">
        <v>1503</v>
      </c>
      <c r="C14" t="s">
        <v>1501</v>
      </c>
      <c r="D14" t="s">
        <v>2655</v>
      </c>
      <c r="E14" t="s">
        <v>2657</v>
      </c>
      <c r="F14" t="s">
        <v>2350</v>
      </c>
      <c r="G14" t="s">
        <v>2351</v>
      </c>
      <c r="H14" t="s">
        <v>2352</v>
      </c>
      <c r="I14">
        <v>21</v>
      </c>
      <c r="J14" t="s">
        <v>2656</v>
      </c>
      <c r="K14" t="s">
        <v>2658</v>
      </c>
      <c r="L14" t="s">
        <v>2659</v>
      </c>
      <c r="M14" t="s">
        <v>1502</v>
      </c>
      <c r="N14" t="s">
        <v>2660</v>
      </c>
    </row>
    <row r="15" spans="1:14" x14ac:dyDescent="0.3">
      <c r="A15">
        <v>2021</v>
      </c>
      <c r="B15" t="s">
        <v>1503</v>
      </c>
      <c r="C15" t="s">
        <v>1541</v>
      </c>
      <c r="D15" t="s">
        <v>2602</v>
      </c>
      <c r="E15" t="s">
        <v>2604</v>
      </c>
      <c r="F15" t="s">
        <v>2599</v>
      </c>
      <c r="G15" t="s">
        <v>2600</v>
      </c>
      <c r="H15" t="s">
        <v>2601</v>
      </c>
      <c r="I15">
        <v>85</v>
      </c>
      <c r="J15" t="s">
        <v>2603</v>
      </c>
      <c r="K15" t="s">
        <v>2605</v>
      </c>
      <c r="M15" t="s">
        <v>1502</v>
      </c>
      <c r="N15" t="s">
        <v>2606</v>
      </c>
    </row>
    <row r="16" spans="1:14" x14ac:dyDescent="0.3">
      <c r="A16">
        <v>2021</v>
      </c>
      <c r="B16" t="s">
        <v>1503</v>
      </c>
      <c r="C16" t="s">
        <v>1541</v>
      </c>
      <c r="D16" t="s">
        <v>2650</v>
      </c>
      <c r="E16" t="s">
        <v>2652</v>
      </c>
      <c r="F16" t="s">
        <v>2647</v>
      </c>
      <c r="G16" t="s">
        <v>2648</v>
      </c>
      <c r="H16" t="s">
        <v>2649</v>
      </c>
      <c r="I16">
        <v>23</v>
      </c>
      <c r="J16" t="s">
        <v>2651</v>
      </c>
      <c r="K16" t="s">
        <v>2653</v>
      </c>
      <c r="M16" t="s">
        <v>1502</v>
      </c>
      <c r="N16" t="s">
        <v>2654</v>
      </c>
    </row>
    <row r="17" spans="1:14" x14ac:dyDescent="0.3">
      <c r="A17">
        <v>2021</v>
      </c>
      <c r="B17" t="s">
        <v>1503</v>
      </c>
      <c r="C17" t="s">
        <v>715</v>
      </c>
      <c r="D17" t="s">
        <v>823</v>
      </c>
      <c r="E17" t="s">
        <v>2568</v>
      </c>
      <c r="F17" t="s">
        <v>2565</v>
      </c>
      <c r="G17" t="s">
        <v>2566</v>
      </c>
      <c r="H17" t="s">
        <v>2567</v>
      </c>
      <c r="I17">
        <v>37</v>
      </c>
      <c r="J17" t="s">
        <v>824</v>
      </c>
      <c r="K17" t="s">
        <v>2569</v>
      </c>
      <c r="L17" t="s">
        <v>2570</v>
      </c>
      <c r="M17" t="s">
        <v>1502</v>
      </c>
      <c r="N17" t="s">
        <v>2571</v>
      </c>
    </row>
    <row r="18" spans="1:14" x14ac:dyDescent="0.3">
      <c r="A18">
        <v>2021</v>
      </c>
      <c r="B18" t="s">
        <v>1503</v>
      </c>
      <c r="C18" t="s">
        <v>715</v>
      </c>
      <c r="D18" t="s">
        <v>795</v>
      </c>
      <c r="E18" t="s">
        <v>2664</v>
      </c>
      <c r="F18" t="s">
        <v>2661</v>
      </c>
      <c r="G18" t="s">
        <v>2662</v>
      </c>
      <c r="H18" t="s">
        <v>2663</v>
      </c>
      <c r="I18">
        <v>146</v>
      </c>
      <c r="J18" t="s">
        <v>796</v>
      </c>
      <c r="K18" t="s">
        <v>2665</v>
      </c>
      <c r="L18" t="s">
        <v>2666</v>
      </c>
      <c r="M18" t="s">
        <v>1502</v>
      </c>
      <c r="N18" t="s">
        <v>2667</v>
      </c>
    </row>
    <row r="19" spans="1:14" x14ac:dyDescent="0.3">
      <c r="A19">
        <v>2021</v>
      </c>
      <c r="B19" t="s">
        <v>1503</v>
      </c>
      <c r="C19" t="s">
        <v>1621</v>
      </c>
      <c r="D19" t="s">
        <v>2575</v>
      </c>
      <c r="E19" t="s">
        <v>2577</v>
      </c>
      <c r="F19" t="s">
        <v>2572</v>
      </c>
      <c r="G19" t="s">
        <v>2573</v>
      </c>
      <c r="H19" t="s">
        <v>2574</v>
      </c>
      <c r="I19">
        <v>30</v>
      </c>
      <c r="J19" t="s">
        <v>2576</v>
      </c>
      <c r="K19" t="s">
        <v>2578</v>
      </c>
      <c r="L19" t="s">
        <v>2579</v>
      </c>
      <c r="M19" t="s">
        <v>1502</v>
      </c>
      <c r="N19" t="s">
        <v>2580</v>
      </c>
    </row>
    <row r="20" spans="1:14" x14ac:dyDescent="0.3">
      <c r="A20">
        <v>2021</v>
      </c>
      <c r="B20" t="s">
        <v>1503</v>
      </c>
      <c r="C20" t="s">
        <v>2036</v>
      </c>
      <c r="D20" t="s">
        <v>2680</v>
      </c>
      <c r="E20" t="s">
        <v>2682</v>
      </c>
      <c r="F20" t="s">
        <v>2677</v>
      </c>
      <c r="G20" t="s">
        <v>2678</v>
      </c>
      <c r="H20" t="s">
        <v>2679</v>
      </c>
      <c r="I20">
        <v>70</v>
      </c>
      <c r="J20" t="s">
        <v>2681</v>
      </c>
      <c r="K20" t="s">
        <v>2683</v>
      </c>
      <c r="L20" t="s">
        <v>2684</v>
      </c>
      <c r="M20" t="s">
        <v>1502</v>
      </c>
      <c r="N20" t="s">
        <v>2685</v>
      </c>
    </row>
    <row r="21" spans="1:14" x14ac:dyDescent="0.3">
      <c r="A21">
        <v>2022</v>
      </c>
      <c r="B21" t="s">
        <v>1503</v>
      </c>
      <c r="C21" t="s">
        <v>1753</v>
      </c>
      <c r="D21" t="s">
        <v>2499</v>
      </c>
      <c r="E21" t="s">
        <v>2501</v>
      </c>
      <c r="F21" t="s">
        <v>2497</v>
      </c>
      <c r="G21" t="s">
        <v>2498</v>
      </c>
      <c r="H21">
        <v>7102901664</v>
      </c>
      <c r="I21">
        <v>6</v>
      </c>
      <c r="J21" t="s">
        <v>2500</v>
      </c>
      <c r="K21" t="s">
        <v>2502</v>
      </c>
      <c r="M21" t="s">
        <v>1502</v>
      </c>
      <c r="N21" t="s">
        <v>2503</v>
      </c>
    </row>
    <row r="22" spans="1:14" x14ac:dyDescent="0.3">
      <c r="A22">
        <v>2022</v>
      </c>
      <c r="B22" t="s">
        <v>1503</v>
      </c>
      <c r="C22" t="s">
        <v>1514</v>
      </c>
      <c r="D22" t="s">
        <v>2533</v>
      </c>
      <c r="E22" t="s">
        <v>2535</v>
      </c>
      <c r="F22" t="s">
        <v>2530</v>
      </c>
      <c r="G22" t="s">
        <v>2531</v>
      </c>
      <c r="H22" t="s">
        <v>2532</v>
      </c>
      <c r="I22">
        <v>8</v>
      </c>
      <c r="J22" t="s">
        <v>2534</v>
      </c>
      <c r="K22" t="s">
        <v>2536</v>
      </c>
      <c r="L22" t="s">
        <v>2537</v>
      </c>
      <c r="M22" t="s">
        <v>1502</v>
      </c>
      <c r="N22" t="s">
        <v>2538</v>
      </c>
    </row>
    <row r="23" spans="1:14" x14ac:dyDescent="0.3">
      <c r="A23">
        <v>2022</v>
      </c>
      <c r="B23" t="s">
        <v>1503</v>
      </c>
      <c r="C23" t="s">
        <v>755</v>
      </c>
      <c r="D23" t="s">
        <v>874</v>
      </c>
      <c r="E23" t="s">
        <v>2485</v>
      </c>
      <c r="F23" t="s">
        <v>2482</v>
      </c>
      <c r="G23" t="s">
        <v>2483</v>
      </c>
      <c r="H23" t="s">
        <v>2484</v>
      </c>
      <c r="I23">
        <v>14</v>
      </c>
      <c r="J23" t="s">
        <v>875</v>
      </c>
      <c r="K23" t="s">
        <v>2486</v>
      </c>
      <c r="L23" t="s">
        <v>2487</v>
      </c>
      <c r="M23" t="s">
        <v>1502</v>
      </c>
      <c r="N23" t="s">
        <v>2488</v>
      </c>
    </row>
    <row r="24" spans="1:14" x14ac:dyDescent="0.3">
      <c r="A24">
        <v>2022</v>
      </c>
      <c r="B24" t="s">
        <v>1503</v>
      </c>
      <c r="C24" t="s">
        <v>1504</v>
      </c>
      <c r="D24" t="s">
        <v>2559</v>
      </c>
      <c r="E24" t="s">
        <v>2561</v>
      </c>
      <c r="F24" t="s">
        <v>2556</v>
      </c>
      <c r="G24" t="s">
        <v>2557</v>
      </c>
      <c r="H24" t="s">
        <v>2558</v>
      </c>
      <c r="I24">
        <v>6</v>
      </c>
      <c r="J24" t="s">
        <v>2560</v>
      </c>
      <c r="K24" t="s">
        <v>2562</v>
      </c>
      <c r="L24" t="s">
        <v>2563</v>
      </c>
      <c r="M24" t="s">
        <v>1502</v>
      </c>
      <c r="N24" t="s">
        <v>2564</v>
      </c>
    </row>
    <row r="25" spans="1:14" x14ac:dyDescent="0.3">
      <c r="A25">
        <v>2022</v>
      </c>
      <c r="B25" t="s">
        <v>1503</v>
      </c>
      <c r="C25" t="s">
        <v>1541</v>
      </c>
      <c r="D25" t="s">
        <v>2610</v>
      </c>
      <c r="E25" t="s">
        <v>2612</v>
      </c>
      <c r="F25" t="s">
        <v>2607</v>
      </c>
      <c r="G25" t="s">
        <v>2608</v>
      </c>
      <c r="H25" t="s">
        <v>2609</v>
      </c>
      <c r="I25">
        <v>14</v>
      </c>
      <c r="J25" t="s">
        <v>2611</v>
      </c>
      <c r="K25" t="s">
        <v>2613</v>
      </c>
      <c r="M25" t="s">
        <v>1502</v>
      </c>
      <c r="N25" t="s">
        <v>2614</v>
      </c>
    </row>
    <row r="26" spans="1:14" x14ac:dyDescent="0.3">
      <c r="A26">
        <v>2022</v>
      </c>
      <c r="B26" t="s">
        <v>1503</v>
      </c>
      <c r="C26" t="s">
        <v>715</v>
      </c>
      <c r="D26" t="s">
        <v>2476</v>
      </c>
      <c r="E26" t="s">
        <v>2478</v>
      </c>
      <c r="F26" t="s">
        <v>2473</v>
      </c>
      <c r="G26" t="s">
        <v>2474</v>
      </c>
      <c r="H26" t="s">
        <v>2475</v>
      </c>
      <c r="I26">
        <v>40</v>
      </c>
      <c r="J26" t="s">
        <v>2477</v>
      </c>
      <c r="K26" t="s">
        <v>2479</v>
      </c>
      <c r="L26" t="s">
        <v>2480</v>
      </c>
      <c r="M26" t="s">
        <v>1502</v>
      </c>
      <c r="N26" t="s">
        <v>2481</v>
      </c>
    </row>
    <row r="27" spans="1:14" x14ac:dyDescent="0.3">
      <c r="A27">
        <v>2022</v>
      </c>
      <c r="B27" t="s">
        <v>1503</v>
      </c>
      <c r="C27" t="s">
        <v>1716</v>
      </c>
      <c r="D27" t="s">
        <v>2524</v>
      </c>
      <c r="E27" t="s">
        <v>2526</v>
      </c>
      <c r="F27" t="s">
        <v>2521</v>
      </c>
      <c r="G27" t="s">
        <v>2522</v>
      </c>
      <c r="H27" t="s">
        <v>2523</v>
      </c>
      <c r="I27">
        <v>8</v>
      </c>
      <c r="J27" t="s">
        <v>2525</v>
      </c>
      <c r="K27" t="s">
        <v>2527</v>
      </c>
      <c r="L27" t="s">
        <v>2528</v>
      </c>
      <c r="M27" t="s">
        <v>1502</v>
      </c>
      <c r="N27" t="s">
        <v>2529</v>
      </c>
    </row>
    <row r="28" spans="1:14" x14ac:dyDescent="0.3">
      <c r="A28">
        <v>2022</v>
      </c>
      <c r="B28" t="s">
        <v>1503</v>
      </c>
      <c r="C28" t="s">
        <v>2306</v>
      </c>
      <c r="D28" t="s">
        <v>2492</v>
      </c>
      <c r="E28" t="s">
        <v>2494</v>
      </c>
      <c r="F28" t="s">
        <v>2489</v>
      </c>
      <c r="G28" t="s">
        <v>2490</v>
      </c>
      <c r="H28" t="s">
        <v>2491</v>
      </c>
      <c r="I28">
        <v>12</v>
      </c>
      <c r="J28" t="s">
        <v>2493</v>
      </c>
      <c r="K28" t="s">
        <v>2495</v>
      </c>
      <c r="M28" t="s">
        <v>1502</v>
      </c>
      <c r="N28" t="s">
        <v>2496</v>
      </c>
    </row>
    <row r="29" spans="1:14" x14ac:dyDescent="0.3">
      <c r="A29">
        <v>2022</v>
      </c>
      <c r="B29" t="s">
        <v>1503</v>
      </c>
      <c r="C29" t="s">
        <v>1584</v>
      </c>
      <c r="D29" t="s">
        <v>2427</v>
      </c>
      <c r="E29" t="s">
        <v>2429</v>
      </c>
      <c r="F29" t="s">
        <v>2425</v>
      </c>
      <c r="G29" t="s">
        <v>2426</v>
      </c>
      <c r="H29">
        <v>56208197700</v>
      </c>
      <c r="I29">
        <v>10</v>
      </c>
      <c r="J29" t="s">
        <v>2428</v>
      </c>
      <c r="K29" t="s">
        <v>2430</v>
      </c>
      <c r="L29" t="s">
        <v>2431</v>
      </c>
      <c r="M29" t="s">
        <v>1502</v>
      </c>
      <c r="N29" t="s">
        <v>2432</v>
      </c>
    </row>
    <row r="30" spans="1:14" x14ac:dyDescent="0.3">
      <c r="A30">
        <v>2022</v>
      </c>
      <c r="B30" t="s">
        <v>1503</v>
      </c>
      <c r="C30" t="s">
        <v>1524</v>
      </c>
      <c r="D30" t="s">
        <v>2467</v>
      </c>
      <c r="E30" t="s">
        <v>2469</v>
      </c>
      <c r="F30" t="s">
        <v>2464</v>
      </c>
      <c r="G30" t="s">
        <v>2465</v>
      </c>
      <c r="H30" t="s">
        <v>2466</v>
      </c>
      <c r="I30">
        <v>38</v>
      </c>
      <c r="J30" t="s">
        <v>2468</v>
      </c>
      <c r="K30" t="s">
        <v>2470</v>
      </c>
      <c r="L30" t="s">
        <v>2471</v>
      </c>
      <c r="M30" t="s">
        <v>1502</v>
      </c>
      <c r="N30" t="s">
        <v>2472</v>
      </c>
    </row>
    <row r="31" spans="1:14" x14ac:dyDescent="0.3">
      <c r="A31">
        <v>2022</v>
      </c>
      <c r="B31" t="s">
        <v>1503</v>
      </c>
      <c r="C31" t="s">
        <v>1524</v>
      </c>
      <c r="D31" t="s">
        <v>2593</v>
      </c>
      <c r="E31" t="s">
        <v>2595</v>
      </c>
      <c r="F31" t="s">
        <v>2590</v>
      </c>
      <c r="G31" t="s">
        <v>2591</v>
      </c>
      <c r="H31" t="s">
        <v>2592</v>
      </c>
      <c r="I31">
        <v>21</v>
      </c>
      <c r="J31" t="s">
        <v>2594</v>
      </c>
      <c r="K31" t="s">
        <v>2596</v>
      </c>
      <c r="L31" t="s">
        <v>2597</v>
      </c>
      <c r="M31" t="s">
        <v>1502</v>
      </c>
      <c r="N31" t="s">
        <v>2598</v>
      </c>
    </row>
    <row r="32" spans="1:14" x14ac:dyDescent="0.3">
      <c r="A32">
        <v>2022</v>
      </c>
      <c r="B32" t="s">
        <v>1503</v>
      </c>
      <c r="C32" t="s">
        <v>1524</v>
      </c>
      <c r="D32" t="s">
        <v>2634</v>
      </c>
      <c r="E32" t="s">
        <v>2636</v>
      </c>
      <c r="F32" t="s">
        <v>2631</v>
      </c>
      <c r="G32" t="s">
        <v>2632</v>
      </c>
      <c r="H32" t="s">
        <v>2633</v>
      </c>
      <c r="I32">
        <v>46</v>
      </c>
      <c r="J32" t="s">
        <v>2635</v>
      </c>
      <c r="K32" t="s">
        <v>2637</v>
      </c>
      <c r="L32" t="s">
        <v>2638</v>
      </c>
      <c r="M32" t="s">
        <v>1502</v>
      </c>
      <c r="N32" t="s">
        <v>2639</v>
      </c>
    </row>
    <row r="33" spans="1:14" x14ac:dyDescent="0.3">
      <c r="A33">
        <v>2022</v>
      </c>
      <c r="B33" t="s">
        <v>1503</v>
      </c>
      <c r="C33" t="s">
        <v>730</v>
      </c>
      <c r="D33" t="s">
        <v>862</v>
      </c>
      <c r="E33" t="s">
        <v>2454</v>
      </c>
      <c r="F33" t="s">
        <v>2451</v>
      </c>
      <c r="G33" t="s">
        <v>2452</v>
      </c>
      <c r="H33" t="s">
        <v>2453</v>
      </c>
      <c r="I33">
        <v>17</v>
      </c>
      <c r="J33" t="s">
        <v>863</v>
      </c>
      <c r="K33" t="s">
        <v>2455</v>
      </c>
      <c r="L33" t="s">
        <v>2456</v>
      </c>
      <c r="M33" t="s">
        <v>1502</v>
      </c>
      <c r="N33" t="s">
        <v>2457</v>
      </c>
    </row>
    <row r="34" spans="1:14" x14ac:dyDescent="0.3">
      <c r="A34">
        <v>2022</v>
      </c>
      <c r="B34" t="s">
        <v>1503</v>
      </c>
      <c r="C34" t="s">
        <v>1583</v>
      </c>
      <c r="D34" t="s">
        <v>2550</v>
      </c>
      <c r="E34" t="s">
        <v>2552</v>
      </c>
      <c r="F34" t="s">
        <v>2547</v>
      </c>
      <c r="G34" t="s">
        <v>2548</v>
      </c>
      <c r="H34" t="s">
        <v>2549</v>
      </c>
      <c r="I34">
        <v>10</v>
      </c>
      <c r="J34" t="s">
        <v>2551</v>
      </c>
      <c r="K34" t="s">
        <v>2553</v>
      </c>
      <c r="L34" t="s">
        <v>2554</v>
      </c>
      <c r="M34" t="s">
        <v>1502</v>
      </c>
      <c r="N34" t="s">
        <v>2555</v>
      </c>
    </row>
    <row r="35" spans="1:14" x14ac:dyDescent="0.3">
      <c r="A35">
        <v>2022</v>
      </c>
      <c r="B35" t="s">
        <v>1503</v>
      </c>
      <c r="C35" t="s">
        <v>1578</v>
      </c>
      <c r="D35" t="s">
        <v>72</v>
      </c>
      <c r="E35" t="s">
        <v>2461</v>
      </c>
      <c r="F35" t="s">
        <v>2458</v>
      </c>
      <c r="G35" t="s">
        <v>2459</v>
      </c>
      <c r="H35" t="s">
        <v>2460</v>
      </c>
      <c r="I35">
        <v>10</v>
      </c>
      <c r="J35" t="s">
        <v>73</v>
      </c>
      <c r="K35" t="s">
        <v>77</v>
      </c>
      <c r="L35" t="s">
        <v>2462</v>
      </c>
      <c r="M35" t="s">
        <v>1502</v>
      </c>
      <c r="N35" t="s">
        <v>2463</v>
      </c>
    </row>
    <row r="36" spans="1:14" x14ac:dyDescent="0.3">
      <c r="A36">
        <v>2022</v>
      </c>
      <c r="B36" t="s">
        <v>1503</v>
      </c>
      <c r="C36" t="s">
        <v>1578</v>
      </c>
      <c r="D36" t="s">
        <v>87</v>
      </c>
      <c r="E36" t="s">
        <v>2517</v>
      </c>
      <c r="F36" t="s">
        <v>2514</v>
      </c>
      <c r="G36" t="s">
        <v>2515</v>
      </c>
      <c r="H36" t="s">
        <v>2516</v>
      </c>
      <c r="I36">
        <v>42</v>
      </c>
      <c r="J36" t="s">
        <v>88</v>
      </c>
      <c r="K36" t="s">
        <v>2518</v>
      </c>
      <c r="L36" t="s">
        <v>2519</v>
      </c>
      <c r="M36" t="s">
        <v>1502</v>
      </c>
      <c r="N36" t="s">
        <v>2520</v>
      </c>
    </row>
    <row r="37" spans="1:14" x14ac:dyDescent="0.3">
      <c r="A37">
        <v>2022</v>
      </c>
      <c r="B37" t="s">
        <v>1503</v>
      </c>
      <c r="C37" t="s">
        <v>1621</v>
      </c>
      <c r="D37" t="s">
        <v>2436</v>
      </c>
      <c r="E37" t="s">
        <v>2438</v>
      </c>
      <c r="F37" t="s">
        <v>2433</v>
      </c>
      <c r="G37" t="s">
        <v>2434</v>
      </c>
      <c r="H37" t="s">
        <v>2435</v>
      </c>
      <c r="I37">
        <v>2</v>
      </c>
      <c r="J37" t="s">
        <v>2437</v>
      </c>
      <c r="K37" t="s">
        <v>2439</v>
      </c>
      <c r="L37" t="s">
        <v>2440</v>
      </c>
      <c r="M37" t="s">
        <v>1502</v>
      </c>
      <c r="N37" t="s">
        <v>2441</v>
      </c>
    </row>
    <row r="38" spans="1:14" x14ac:dyDescent="0.3">
      <c r="A38">
        <v>2022</v>
      </c>
      <c r="B38" t="s">
        <v>1503</v>
      </c>
      <c r="C38" t="s">
        <v>1606</v>
      </c>
      <c r="D38" t="s">
        <v>2507</v>
      </c>
      <c r="E38" t="s">
        <v>2509</v>
      </c>
      <c r="F38" t="s">
        <v>2504</v>
      </c>
      <c r="G38" t="s">
        <v>2505</v>
      </c>
      <c r="H38" t="s">
        <v>2506</v>
      </c>
      <c r="I38">
        <v>37</v>
      </c>
      <c r="J38" t="s">
        <v>2508</v>
      </c>
      <c r="K38" t="s">
        <v>2510</v>
      </c>
      <c r="L38" t="s">
        <v>2511</v>
      </c>
      <c r="M38" t="s">
        <v>1502</v>
      </c>
      <c r="N38" t="s">
        <v>2512</v>
      </c>
    </row>
    <row r="39" spans="1:14" x14ac:dyDescent="0.3">
      <c r="A39">
        <v>2022</v>
      </c>
      <c r="B39" t="s">
        <v>1503</v>
      </c>
      <c r="C39" t="s">
        <v>1612</v>
      </c>
      <c r="D39" t="s">
        <v>2411</v>
      </c>
      <c r="E39" t="s">
        <v>2413</v>
      </c>
      <c r="F39" t="s">
        <v>2408</v>
      </c>
      <c r="G39" t="s">
        <v>2409</v>
      </c>
      <c r="H39" t="s">
        <v>2410</v>
      </c>
      <c r="I39">
        <v>36</v>
      </c>
      <c r="J39" t="s">
        <v>2412</v>
      </c>
      <c r="K39" t="s">
        <v>2414</v>
      </c>
      <c r="L39" t="s">
        <v>2415</v>
      </c>
      <c r="M39" t="s">
        <v>1502</v>
      </c>
      <c r="N39" t="s">
        <v>2416</v>
      </c>
    </row>
    <row r="40" spans="1:14" x14ac:dyDescent="0.3">
      <c r="A40">
        <v>2022</v>
      </c>
      <c r="B40" t="s">
        <v>1503</v>
      </c>
      <c r="C40" t="s">
        <v>2619</v>
      </c>
      <c r="D40" t="s">
        <v>2618</v>
      </c>
      <c r="E40" t="s">
        <v>2621</v>
      </c>
      <c r="F40" t="s">
        <v>2615</v>
      </c>
      <c r="G40" t="s">
        <v>2616</v>
      </c>
      <c r="H40" t="s">
        <v>2617</v>
      </c>
      <c r="I40">
        <v>2</v>
      </c>
      <c r="J40" t="s">
        <v>2620</v>
      </c>
      <c r="L40" t="s">
        <v>2622</v>
      </c>
      <c r="M40" t="s">
        <v>1502</v>
      </c>
      <c r="N40" t="s">
        <v>2623</v>
      </c>
    </row>
    <row r="41" spans="1:14" x14ac:dyDescent="0.3">
      <c r="A41">
        <v>2023</v>
      </c>
      <c r="B41" t="s">
        <v>1503</v>
      </c>
      <c r="C41" t="s">
        <v>1514</v>
      </c>
      <c r="D41" t="s">
        <v>2361</v>
      </c>
      <c r="E41" t="s">
        <v>2363</v>
      </c>
      <c r="F41" t="s">
        <v>2358</v>
      </c>
      <c r="G41" t="s">
        <v>2359</v>
      </c>
      <c r="H41" t="s">
        <v>2360</v>
      </c>
      <c r="I41">
        <v>24</v>
      </c>
      <c r="J41" t="s">
        <v>2362</v>
      </c>
      <c r="K41" t="s">
        <v>2364</v>
      </c>
      <c r="L41" t="s">
        <v>2365</v>
      </c>
      <c r="M41" t="s">
        <v>1502</v>
      </c>
      <c r="N41" t="s">
        <v>2366</v>
      </c>
    </row>
    <row r="42" spans="1:14" x14ac:dyDescent="0.3">
      <c r="A42">
        <v>2023</v>
      </c>
      <c r="B42" t="s">
        <v>1503</v>
      </c>
      <c r="C42" t="s">
        <v>1514</v>
      </c>
      <c r="D42" t="s">
        <v>2419</v>
      </c>
      <c r="E42" t="s">
        <v>2421</v>
      </c>
      <c r="F42" t="s">
        <v>2417</v>
      </c>
      <c r="G42" t="s">
        <v>2418</v>
      </c>
      <c r="H42">
        <v>36141776800</v>
      </c>
      <c r="I42">
        <v>6</v>
      </c>
      <c r="J42" t="s">
        <v>2420</v>
      </c>
      <c r="K42" t="s">
        <v>2422</v>
      </c>
      <c r="L42" t="s">
        <v>2423</v>
      </c>
      <c r="M42" t="s">
        <v>1502</v>
      </c>
      <c r="N42" t="s">
        <v>2424</v>
      </c>
    </row>
    <row r="43" spans="1:14" x14ac:dyDescent="0.3">
      <c r="A43">
        <v>2023</v>
      </c>
      <c r="B43" t="s">
        <v>1503</v>
      </c>
      <c r="C43" t="s">
        <v>1504</v>
      </c>
      <c r="D43" t="s">
        <v>2272</v>
      </c>
      <c r="E43" t="s">
        <v>2274</v>
      </c>
      <c r="F43" t="s">
        <v>2269</v>
      </c>
      <c r="G43" t="s">
        <v>2270</v>
      </c>
      <c r="H43" t="s">
        <v>2271</v>
      </c>
      <c r="I43">
        <v>5</v>
      </c>
      <c r="J43" t="s">
        <v>2273</v>
      </c>
      <c r="K43" t="s">
        <v>2275</v>
      </c>
      <c r="L43" t="s">
        <v>2276</v>
      </c>
      <c r="M43" t="s">
        <v>1502</v>
      </c>
      <c r="N43" t="s">
        <v>2277</v>
      </c>
    </row>
    <row r="44" spans="1:14" x14ac:dyDescent="0.3">
      <c r="A44">
        <v>2023</v>
      </c>
      <c r="B44" t="s">
        <v>1503</v>
      </c>
      <c r="C44" t="s">
        <v>1541</v>
      </c>
      <c r="D44" t="s">
        <v>2353</v>
      </c>
      <c r="E44" t="s">
        <v>2355</v>
      </c>
      <c r="F44" t="s">
        <v>2350</v>
      </c>
      <c r="G44" t="s">
        <v>2351</v>
      </c>
      <c r="H44" t="s">
        <v>2352</v>
      </c>
      <c r="I44">
        <v>8</v>
      </c>
      <c r="J44" t="s">
        <v>2354</v>
      </c>
      <c r="K44" t="s">
        <v>2356</v>
      </c>
      <c r="M44" t="s">
        <v>1502</v>
      </c>
      <c r="N44" t="s">
        <v>2357</v>
      </c>
    </row>
    <row r="45" spans="1:14" x14ac:dyDescent="0.3">
      <c r="A45">
        <v>2023</v>
      </c>
      <c r="B45" t="s">
        <v>1503</v>
      </c>
      <c r="C45" t="s">
        <v>715</v>
      </c>
      <c r="D45" t="s">
        <v>960</v>
      </c>
      <c r="E45" t="s">
        <v>2281</v>
      </c>
      <c r="F45" t="s">
        <v>2278</v>
      </c>
      <c r="G45" t="s">
        <v>2279</v>
      </c>
      <c r="H45" t="s">
        <v>2280</v>
      </c>
      <c r="I45">
        <v>7</v>
      </c>
      <c r="J45" t="s">
        <v>961</v>
      </c>
      <c r="K45" t="s">
        <v>963</v>
      </c>
      <c r="L45" t="s">
        <v>2282</v>
      </c>
      <c r="M45" t="s">
        <v>1502</v>
      </c>
      <c r="N45" t="s">
        <v>2283</v>
      </c>
    </row>
    <row r="46" spans="1:14" x14ac:dyDescent="0.3">
      <c r="A46">
        <v>2023</v>
      </c>
      <c r="B46" t="s">
        <v>1503</v>
      </c>
      <c r="C46" t="s">
        <v>715</v>
      </c>
      <c r="D46" t="s">
        <v>941</v>
      </c>
      <c r="E46" t="s">
        <v>2379</v>
      </c>
      <c r="F46" t="s">
        <v>2376</v>
      </c>
      <c r="G46" t="s">
        <v>2377</v>
      </c>
      <c r="H46" t="s">
        <v>2378</v>
      </c>
      <c r="I46">
        <v>9</v>
      </c>
      <c r="J46" t="s">
        <v>942</v>
      </c>
      <c r="K46" t="s">
        <v>2380</v>
      </c>
      <c r="L46" t="s">
        <v>2381</v>
      </c>
      <c r="M46" t="s">
        <v>1502</v>
      </c>
      <c r="N46" t="s">
        <v>2382</v>
      </c>
    </row>
    <row r="47" spans="1:14" x14ac:dyDescent="0.3">
      <c r="A47">
        <v>2023</v>
      </c>
      <c r="B47" t="s">
        <v>1503</v>
      </c>
      <c r="C47" t="s">
        <v>715</v>
      </c>
      <c r="D47" t="s">
        <v>955</v>
      </c>
      <c r="E47" t="s">
        <v>2395</v>
      </c>
      <c r="F47" t="s">
        <v>2392</v>
      </c>
      <c r="G47" t="s">
        <v>2393</v>
      </c>
      <c r="H47" t="s">
        <v>2394</v>
      </c>
      <c r="I47">
        <v>46</v>
      </c>
      <c r="J47" t="s">
        <v>956</v>
      </c>
      <c r="K47" t="s">
        <v>2396</v>
      </c>
      <c r="L47" t="s">
        <v>2397</v>
      </c>
      <c r="M47" t="s">
        <v>1502</v>
      </c>
      <c r="N47" t="s">
        <v>2398</v>
      </c>
    </row>
    <row r="48" spans="1:14" x14ac:dyDescent="0.3">
      <c r="A48">
        <v>2023</v>
      </c>
      <c r="B48" t="s">
        <v>1503</v>
      </c>
      <c r="C48" t="s">
        <v>2306</v>
      </c>
      <c r="D48" t="s">
        <v>2305</v>
      </c>
      <c r="E48" t="s">
        <v>2308</v>
      </c>
      <c r="F48" t="s">
        <v>2302</v>
      </c>
      <c r="G48" t="s">
        <v>2303</v>
      </c>
      <c r="H48" t="s">
        <v>2304</v>
      </c>
      <c r="I48">
        <v>1</v>
      </c>
      <c r="J48" t="s">
        <v>2307</v>
      </c>
      <c r="K48" t="s">
        <v>2309</v>
      </c>
      <c r="M48" t="s">
        <v>1502</v>
      </c>
      <c r="N48" t="s">
        <v>2310</v>
      </c>
    </row>
    <row r="49" spans="1:14" x14ac:dyDescent="0.3">
      <c r="A49">
        <v>2023</v>
      </c>
      <c r="B49" t="s">
        <v>1503</v>
      </c>
      <c r="C49" t="s">
        <v>1928</v>
      </c>
      <c r="D49" t="s">
        <v>2542</v>
      </c>
      <c r="E49" t="s">
        <v>2544</v>
      </c>
      <c r="F49" t="s">
        <v>2539</v>
      </c>
      <c r="G49" t="s">
        <v>2540</v>
      </c>
      <c r="H49" t="s">
        <v>2541</v>
      </c>
      <c r="I49">
        <v>2</v>
      </c>
      <c r="J49" t="s">
        <v>2543</v>
      </c>
      <c r="K49" t="s">
        <v>2545</v>
      </c>
      <c r="M49" t="s">
        <v>1502</v>
      </c>
      <c r="N49" t="s">
        <v>2546</v>
      </c>
    </row>
    <row r="50" spans="1:14" x14ac:dyDescent="0.3">
      <c r="A50">
        <v>2023</v>
      </c>
      <c r="B50" t="s">
        <v>1503</v>
      </c>
      <c r="C50" t="s">
        <v>1515</v>
      </c>
      <c r="D50" t="s">
        <v>2296</v>
      </c>
      <c r="E50" t="s">
        <v>2298</v>
      </c>
      <c r="F50" t="s">
        <v>2293</v>
      </c>
      <c r="G50" t="s">
        <v>2294</v>
      </c>
      <c r="H50" t="s">
        <v>2295</v>
      </c>
      <c r="I50">
        <v>5</v>
      </c>
      <c r="J50" t="s">
        <v>2297</v>
      </c>
      <c r="K50" t="s">
        <v>2299</v>
      </c>
      <c r="L50" t="s">
        <v>2300</v>
      </c>
      <c r="M50" t="s">
        <v>1502</v>
      </c>
      <c r="N50" t="s">
        <v>2301</v>
      </c>
    </row>
    <row r="51" spans="1:14" x14ac:dyDescent="0.3">
      <c r="A51">
        <v>2023</v>
      </c>
      <c r="B51" t="s">
        <v>1503</v>
      </c>
      <c r="C51" t="s">
        <v>2446</v>
      </c>
      <c r="D51" t="s">
        <v>2445</v>
      </c>
      <c r="E51" t="s">
        <v>2448</v>
      </c>
      <c r="F51" t="s">
        <v>2442</v>
      </c>
      <c r="G51" t="s">
        <v>2443</v>
      </c>
      <c r="H51" t="s">
        <v>2444</v>
      </c>
      <c r="I51">
        <v>15</v>
      </c>
      <c r="J51" t="s">
        <v>2447</v>
      </c>
      <c r="L51" t="s">
        <v>2449</v>
      </c>
      <c r="M51" t="s">
        <v>1502</v>
      </c>
      <c r="N51" t="s">
        <v>2450</v>
      </c>
    </row>
    <row r="52" spans="1:14" x14ac:dyDescent="0.3">
      <c r="A52">
        <v>2023</v>
      </c>
      <c r="B52" t="s">
        <v>1503</v>
      </c>
      <c r="C52" t="s">
        <v>1524</v>
      </c>
      <c r="D52" t="s">
        <v>2344</v>
      </c>
      <c r="E52" t="s">
        <v>2346</v>
      </c>
      <c r="F52" t="s">
        <v>2341</v>
      </c>
      <c r="G52" t="s">
        <v>2342</v>
      </c>
      <c r="H52" t="s">
        <v>2343</v>
      </c>
      <c r="I52">
        <v>6</v>
      </c>
      <c r="J52" t="s">
        <v>2345</v>
      </c>
      <c r="K52" t="s">
        <v>2347</v>
      </c>
      <c r="L52" t="s">
        <v>2348</v>
      </c>
      <c r="M52" t="s">
        <v>1502</v>
      </c>
      <c r="N52" t="s">
        <v>2349</v>
      </c>
    </row>
    <row r="53" spans="1:14" x14ac:dyDescent="0.3">
      <c r="A53">
        <v>2023</v>
      </c>
      <c r="B53" t="s">
        <v>1503</v>
      </c>
      <c r="C53" t="s">
        <v>730</v>
      </c>
      <c r="D53" t="s">
        <v>990</v>
      </c>
      <c r="E53" t="s">
        <v>2337</v>
      </c>
      <c r="F53" t="s">
        <v>2334</v>
      </c>
      <c r="G53" t="s">
        <v>2335</v>
      </c>
      <c r="H53" t="s">
        <v>2336</v>
      </c>
      <c r="I53">
        <v>6</v>
      </c>
      <c r="J53" t="s">
        <v>991</v>
      </c>
      <c r="K53" t="s">
        <v>2338</v>
      </c>
      <c r="L53" t="s">
        <v>2339</v>
      </c>
      <c r="M53" t="s">
        <v>1502</v>
      </c>
      <c r="N53" t="s">
        <v>2340</v>
      </c>
    </row>
    <row r="54" spans="1:14" x14ac:dyDescent="0.3">
      <c r="A54">
        <v>2023</v>
      </c>
      <c r="B54" t="s">
        <v>1503</v>
      </c>
      <c r="C54" t="s">
        <v>778</v>
      </c>
      <c r="D54" t="s">
        <v>936</v>
      </c>
      <c r="E54" t="s">
        <v>2314</v>
      </c>
      <c r="F54" t="s">
        <v>2311</v>
      </c>
      <c r="G54" t="s">
        <v>2312</v>
      </c>
      <c r="H54" t="s">
        <v>2313</v>
      </c>
      <c r="I54">
        <v>1</v>
      </c>
      <c r="J54" t="s">
        <v>937</v>
      </c>
      <c r="K54" t="s">
        <v>2315</v>
      </c>
      <c r="L54" t="s">
        <v>2316</v>
      </c>
      <c r="M54" t="s">
        <v>1502</v>
      </c>
      <c r="N54" t="s">
        <v>2317</v>
      </c>
    </row>
    <row r="55" spans="1:14" x14ac:dyDescent="0.3">
      <c r="A55">
        <v>2023</v>
      </c>
      <c r="B55" t="s">
        <v>1503</v>
      </c>
      <c r="C55" t="s">
        <v>853</v>
      </c>
      <c r="D55" t="s">
        <v>978</v>
      </c>
      <c r="E55" t="s">
        <v>2321</v>
      </c>
      <c r="F55" t="s">
        <v>2318</v>
      </c>
      <c r="G55" t="s">
        <v>2319</v>
      </c>
      <c r="H55" t="s">
        <v>2320</v>
      </c>
      <c r="I55">
        <v>8</v>
      </c>
      <c r="J55" t="s">
        <v>979</v>
      </c>
      <c r="K55" t="s">
        <v>2322</v>
      </c>
      <c r="L55" t="s">
        <v>2323</v>
      </c>
      <c r="M55" t="s">
        <v>1502</v>
      </c>
      <c r="N55" t="s">
        <v>2324</v>
      </c>
    </row>
    <row r="56" spans="1:14" x14ac:dyDescent="0.3">
      <c r="A56">
        <v>2023</v>
      </c>
      <c r="B56" t="s">
        <v>1503</v>
      </c>
      <c r="C56" t="s">
        <v>1621</v>
      </c>
      <c r="D56" t="s">
        <v>2263</v>
      </c>
      <c r="E56" t="s">
        <v>2265</v>
      </c>
      <c r="F56" t="s">
        <v>2260</v>
      </c>
      <c r="G56" t="s">
        <v>2261</v>
      </c>
      <c r="H56" t="s">
        <v>2262</v>
      </c>
      <c r="I56">
        <v>2</v>
      </c>
      <c r="J56" t="s">
        <v>2264</v>
      </c>
      <c r="K56" t="s">
        <v>2266</v>
      </c>
      <c r="L56" t="s">
        <v>2267</v>
      </c>
      <c r="M56" t="s">
        <v>1502</v>
      </c>
      <c r="N56" t="s">
        <v>2268</v>
      </c>
    </row>
    <row r="57" spans="1:14" x14ac:dyDescent="0.3">
      <c r="A57">
        <v>2023</v>
      </c>
      <c r="B57" t="s">
        <v>1503</v>
      </c>
      <c r="C57" t="s">
        <v>1621</v>
      </c>
      <c r="D57" t="s">
        <v>2287</v>
      </c>
      <c r="E57" t="s">
        <v>2289</v>
      </c>
      <c r="F57" t="s">
        <v>2284</v>
      </c>
      <c r="G57" t="s">
        <v>2285</v>
      </c>
      <c r="H57" t="s">
        <v>2286</v>
      </c>
      <c r="I57">
        <v>12</v>
      </c>
      <c r="J57" t="s">
        <v>2288</v>
      </c>
      <c r="K57" t="s">
        <v>2290</v>
      </c>
      <c r="L57" t="s">
        <v>2291</v>
      </c>
      <c r="M57" t="s">
        <v>1502</v>
      </c>
      <c r="N57" t="s">
        <v>2292</v>
      </c>
    </row>
    <row r="58" spans="1:14" x14ac:dyDescent="0.3">
      <c r="A58">
        <v>2023</v>
      </c>
      <c r="B58" t="s">
        <v>1503</v>
      </c>
      <c r="C58" t="s">
        <v>1606</v>
      </c>
      <c r="D58" t="s">
        <v>2402</v>
      </c>
      <c r="E58" t="s">
        <v>2404</v>
      </c>
      <c r="F58" t="s">
        <v>2399</v>
      </c>
      <c r="G58" t="s">
        <v>2400</v>
      </c>
      <c r="H58" t="s">
        <v>2401</v>
      </c>
      <c r="I58">
        <v>3</v>
      </c>
      <c r="J58" t="s">
        <v>2403</v>
      </c>
      <c r="K58" t="s">
        <v>2405</v>
      </c>
      <c r="L58" t="s">
        <v>2406</v>
      </c>
      <c r="M58" t="s">
        <v>1502</v>
      </c>
      <c r="N58" t="s">
        <v>2407</v>
      </c>
    </row>
    <row r="59" spans="1:14" x14ac:dyDescent="0.3">
      <c r="A59">
        <v>2023</v>
      </c>
      <c r="B59" t="s">
        <v>1503</v>
      </c>
      <c r="C59" t="s">
        <v>1635</v>
      </c>
      <c r="D59" t="s">
        <v>2329</v>
      </c>
      <c r="E59" t="s">
        <v>2331</v>
      </c>
      <c r="F59" t="s">
        <v>2326</v>
      </c>
      <c r="G59" t="s">
        <v>2327</v>
      </c>
      <c r="H59" t="s">
        <v>2328</v>
      </c>
      <c r="I59">
        <v>11</v>
      </c>
      <c r="J59" t="s">
        <v>2330</v>
      </c>
      <c r="K59" t="s">
        <v>2332</v>
      </c>
      <c r="M59" t="s">
        <v>1502</v>
      </c>
      <c r="N59" t="s">
        <v>2333</v>
      </c>
    </row>
    <row r="60" spans="1:14" x14ac:dyDescent="0.3">
      <c r="A60">
        <v>2023</v>
      </c>
      <c r="B60" t="s">
        <v>1503</v>
      </c>
      <c r="C60" t="s">
        <v>2325</v>
      </c>
      <c r="D60" t="s">
        <v>2386</v>
      </c>
      <c r="E60" t="s">
        <v>2388</v>
      </c>
      <c r="F60" t="s">
        <v>2383</v>
      </c>
      <c r="G60" t="s">
        <v>2384</v>
      </c>
      <c r="H60" t="s">
        <v>2385</v>
      </c>
      <c r="I60">
        <v>26</v>
      </c>
      <c r="J60" t="s">
        <v>2387</v>
      </c>
      <c r="K60" t="s">
        <v>2389</v>
      </c>
      <c r="L60" t="s">
        <v>2390</v>
      </c>
      <c r="M60" t="s">
        <v>1502</v>
      </c>
      <c r="N60" t="s">
        <v>2391</v>
      </c>
    </row>
    <row r="61" spans="1:14" x14ac:dyDescent="0.3">
      <c r="A61">
        <v>2023</v>
      </c>
      <c r="B61" t="s">
        <v>1503</v>
      </c>
      <c r="C61" t="s">
        <v>2036</v>
      </c>
      <c r="D61" t="s">
        <v>2370</v>
      </c>
      <c r="E61" t="s">
        <v>2372</v>
      </c>
      <c r="F61" t="s">
        <v>2367</v>
      </c>
      <c r="G61" t="s">
        <v>2368</v>
      </c>
      <c r="H61" t="s">
        <v>2369</v>
      </c>
      <c r="I61">
        <v>6</v>
      </c>
      <c r="J61" t="s">
        <v>2371</v>
      </c>
      <c r="K61" t="s">
        <v>2373</v>
      </c>
      <c r="L61" t="s">
        <v>2374</v>
      </c>
      <c r="M61" t="s">
        <v>1502</v>
      </c>
      <c r="N61" t="s">
        <v>2375</v>
      </c>
    </row>
    <row r="62" spans="1:14" x14ac:dyDescent="0.3">
      <c r="A62">
        <v>2024</v>
      </c>
      <c r="B62" t="s">
        <v>1503</v>
      </c>
      <c r="C62" t="s">
        <v>704</v>
      </c>
      <c r="D62" t="s">
        <v>703</v>
      </c>
      <c r="E62" t="s">
        <v>1849</v>
      </c>
      <c r="F62" t="s">
        <v>1845</v>
      </c>
      <c r="G62" t="s">
        <v>1846</v>
      </c>
      <c r="H62" t="s">
        <v>1847</v>
      </c>
      <c r="I62">
        <v>2</v>
      </c>
      <c r="J62" t="s">
        <v>1848</v>
      </c>
      <c r="K62" t="s">
        <v>1850</v>
      </c>
      <c r="L62" t="s">
        <v>1851</v>
      </c>
      <c r="M62" t="s">
        <v>1502</v>
      </c>
      <c r="N62" t="s">
        <v>1852</v>
      </c>
    </row>
    <row r="63" spans="1:14" x14ac:dyDescent="0.3">
      <c r="A63">
        <v>2024</v>
      </c>
      <c r="B63" t="s">
        <v>1503</v>
      </c>
      <c r="C63" t="s">
        <v>1753</v>
      </c>
      <c r="D63" t="s">
        <v>2089</v>
      </c>
      <c r="E63" t="s">
        <v>2091</v>
      </c>
      <c r="F63" t="s">
        <v>2086</v>
      </c>
      <c r="G63" t="s">
        <v>2087</v>
      </c>
      <c r="H63" t="s">
        <v>2088</v>
      </c>
      <c r="I63">
        <v>6</v>
      </c>
      <c r="J63" t="s">
        <v>2090</v>
      </c>
      <c r="K63" t="s">
        <v>2092</v>
      </c>
      <c r="M63" t="s">
        <v>1502</v>
      </c>
      <c r="N63" t="s">
        <v>2093</v>
      </c>
    </row>
    <row r="64" spans="1:14" x14ac:dyDescent="0.3">
      <c r="A64">
        <v>2024</v>
      </c>
      <c r="B64" t="s">
        <v>1503</v>
      </c>
      <c r="C64" t="s">
        <v>751</v>
      </c>
      <c r="D64" t="s">
        <v>1204</v>
      </c>
      <c r="E64" t="s">
        <v>2146</v>
      </c>
      <c r="F64" t="s">
        <v>2143</v>
      </c>
      <c r="G64" t="s">
        <v>2144</v>
      </c>
      <c r="H64" t="s">
        <v>2145</v>
      </c>
      <c r="I64">
        <v>10</v>
      </c>
      <c r="J64" t="s">
        <v>1205</v>
      </c>
      <c r="K64" t="s">
        <v>2147</v>
      </c>
      <c r="L64" t="s">
        <v>2148</v>
      </c>
      <c r="M64" t="s">
        <v>1502</v>
      </c>
      <c r="N64" t="s">
        <v>2149</v>
      </c>
    </row>
    <row r="65" spans="1:14" x14ac:dyDescent="0.3">
      <c r="A65">
        <v>2024</v>
      </c>
      <c r="B65" t="s">
        <v>1503</v>
      </c>
      <c r="C65" t="s">
        <v>1942</v>
      </c>
      <c r="D65" t="s">
        <v>1941</v>
      </c>
      <c r="E65" t="s">
        <v>1944</v>
      </c>
      <c r="F65" t="s">
        <v>1938</v>
      </c>
      <c r="G65" t="s">
        <v>1939</v>
      </c>
      <c r="H65" t="s">
        <v>1940</v>
      </c>
      <c r="I65">
        <v>1</v>
      </c>
      <c r="J65" t="s">
        <v>1943</v>
      </c>
      <c r="K65" t="s">
        <v>1945</v>
      </c>
      <c r="M65" t="s">
        <v>1502</v>
      </c>
      <c r="N65" t="s">
        <v>1946</v>
      </c>
    </row>
    <row r="66" spans="1:14" x14ac:dyDescent="0.3">
      <c r="A66">
        <v>2024</v>
      </c>
      <c r="B66" t="s">
        <v>1503</v>
      </c>
      <c r="C66" t="s">
        <v>1514</v>
      </c>
      <c r="D66" t="s">
        <v>1922</v>
      </c>
      <c r="E66" t="s">
        <v>1924</v>
      </c>
      <c r="F66" t="s">
        <v>1919</v>
      </c>
      <c r="G66" t="s">
        <v>1920</v>
      </c>
      <c r="H66" t="s">
        <v>1921</v>
      </c>
      <c r="I66">
        <v>39</v>
      </c>
      <c r="J66" t="s">
        <v>1923</v>
      </c>
      <c r="K66" t="s">
        <v>1925</v>
      </c>
      <c r="L66" t="s">
        <v>1926</v>
      </c>
      <c r="M66" t="s">
        <v>1502</v>
      </c>
      <c r="N66" t="s">
        <v>1927</v>
      </c>
    </row>
    <row r="67" spans="1:14" x14ac:dyDescent="0.3">
      <c r="A67">
        <v>2024</v>
      </c>
      <c r="B67" t="s">
        <v>1503</v>
      </c>
      <c r="C67" t="s">
        <v>1514</v>
      </c>
      <c r="D67" t="s">
        <v>1950</v>
      </c>
      <c r="E67" t="s">
        <v>1952</v>
      </c>
      <c r="F67" t="s">
        <v>1947</v>
      </c>
      <c r="G67" t="s">
        <v>1948</v>
      </c>
      <c r="H67" t="s">
        <v>1949</v>
      </c>
      <c r="I67">
        <v>6</v>
      </c>
      <c r="J67" t="s">
        <v>1951</v>
      </c>
      <c r="K67" t="s">
        <v>1953</v>
      </c>
      <c r="L67" t="s">
        <v>1954</v>
      </c>
      <c r="M67" t="s">
        <v>1502</v>
      </c>
      <c r="N67" t="s">
        <v>1955</v>
      </c>
    </row>
    <row r="68" spans="1:14" x14ac:dyDescent="0.3">
      <c r="A68">
        <v>2024</v>
      </c>
      <c r="B68" t="s">
        <v>1503</v>
      </c>
      <c r="C68" t="s">
        <v>1514</v>
      </c>
      <c r="D68" t="s">
        <v>2106</v>
      </c>
      <c r="E68" t="s">
        <v>2108</v>
      </c>
      <c r="F68" t="s">
        <v>2103</v>
      </c>
      <c r="G68" t="s">
        <v>2104</v>
      </c>
      <c r="H68" t="s">
        <v>2105</v>
      </c>
      <c r="I68">
        <v>12</v>
      </c>
      <c r="J68" t="s">
        <v>2107</v>
      </c>
      <c r="K68" t="s">
        <v>2109</v>
      </c>
      <c r="L68" t="s">
        <v>2110</v>
      </c>
      <c r="M68" t="s">
        <v>1502</v>
      </c>
      <c r="N68" t="s">
        <v>2111</v>
      </c>
    </row>
    <row r="69" spans="1:14" x14ac:dyDescent="0.3">
      <c r="A69">
        <v>2024</v>
      </c>
      <c r="B69" t="s">
        <v>1503</v>
      </c>
      <c r="C69" t="s">
        <v>695</v>
      </c>
      <c r="D69" t="s">
        <v>706</v>
      </c>
      <c r="E69" t="s">
        <v>1981</v>
      </c>
      <c r="F69" t="s">
        <v>1845</v>
      </c>
      <c r="G69" t="s">
        <v>1846</v>
      </c>
      <c r="H69" t="s">
        <v>1847</v>
      </c>
      <c r="I69">
        <v>0</v>
      </c>
      <c r="J69" t="s">
        <v>1980</v>
      </c>
      <c r="K69" t="s">
        <v>1982</v>
      </c>
      <c r="M69" t="s">
        <v>1502</v>
      </c>
      <c r="N69" t="s">
        <v>1983</v>
      </c>
    </row>
    <row r="70" spans="1:14" x14ac:dyDescent="0.3">
      <c r="A70">
        <v>2024</v>
      </c>
      <c r="B70" t="s">
        <v>1503</v>
      </c>
      <c r="C70" t="s">
        <v>880</v>
      </c>
      <c r="D70" t="s">
        <v>1179</v>
      </c>
      <c r="E70" t="s">
        <v>1872</v>
      </c>
      <c r="F70" t="s">
        <v>1869</v>
      </c>
      <c r="G70" t="s">
        <v>1870</v>
      </c>
      <c r="H70" t="s">
        <v>1871</v>
      </c>
      <c r="I70">
        <v>18</v>
      </c>
      <c r="J70" t="s">
        <v>1180</v>
      </c>
      <c r="K70" t="s">
        <v>1873</v>
      </c>
      <c r="L70" t="s">
        <v>1874</v>
      </c>
      <c r="M70" t="s">
        <v>1502</v>
      </c>
      <c r="N70" t="s">
        <v>1875</v>
      </c>
    </row>
    <row r="71" spans="1:14" x14ac:dyDescent="0.3">
      <c r="A71">
        <v>2024</v>
      </c>
      <c r="B71" t="s">
        <v>1503</v>
      </c>
      <c r="C71" t="s">
        <v>1501</v>
      </c>
      <c r="D71" t="s">
        <v>1883</v>
      </c>
      <c r="E71" t="s">
        <v>1885</v>
      </c>
      <c r="F71" t="s">
        <v>1869</v>
      </c>
      <c r="G71" t="s">
        <v>1870</v>
      </c>
      <c r="H71" t="s">
        <v>1871</v>
      </c>
      <c r="I71">
        <v>17</v>
      </c>
      <c r="J71" t="s">
        <v>1884</v>
      </c>
      <c r="K71" t="s">
        <v>1886</v>
      </c>
      <c r="L71" t="s">
        <v>1887</v>
      </c>
      <c r="M71" t="s">
        <v>1502</v>
      </c>
      <c r="N71" t="s">
        <v>1888</v>
      </c>
    </row>
    <row r="72" spans="1:14" x14ac:dyDescent="0.3">
      <c r="A72">
        <v>2024</v>
      </c>
      <c r="B72" t="s">
        <v>1503</v>
      </c>
      <c r="C72" t="s">
        <v>1541</v>
      </c>
      <c r="D72" t="s">
        <v>1975</v>
      </c>
      <c r="E72" t="s">
        <v>1977</v>
      </c>
      <c r="F72" t="s">
        <v>1972</v>
      </c>
      <c r="G72" t="s">
        <v>1973</v>
      </c>
      <c r="H72" t="s">
        <v>1974</v>
      </c>
      <c r="I72">
        <v>1</v>
      </c>
      <c r="J72" t="s">
        <v>1976</v>
      </c>
      <c r="K72" t="s">
        <v>1978</v>
      </c>
      <c r="M72" t="s">
        <v>1502</v>
      </c>
      <c r="N72" t="s">
        <v>1979</v>
      </c>
    </row>
    <row r="73" spans="1:14" x14ac:dyDescent="0.3">
      <c r="A73">
        <v>2024</v>
      </c>
      <c r="B73" t="s">
        <v>1503</v>
      </c>
      <c r="C73" t="s">
        <v>1541</v>
      </c>
      <c r="D73" t="s">
        <v>2202</v>
      </c>
      <c r="E73" t="s">
        <v>2204</v>
      </c>
      <c r="F73" t="s">
        <v>2199</v>
      </c>
      <c r="G73" t="s">
        <v>2200</v>
      </c>
      <c r="H73" t="s">
        <v>2201</v>
      </c>
      <c r="I73">
        <v>0</v>
      </c>
      <c r="J73" t="s">
        <v>2203</v>
      </c>
      <c r="K73" t="s">
        <v>2205</v>
      </c>
      <c r="M73" t="s">
        <v>1502</v>
      </c>
      <c r="N73" t="s">
        <v>2206</v>
      </c>
    </row>
    <row r="74" spans="1:14" x14ac:dyDescent="0.3">
      <c r="A74">
        <v>2024</v>
      </c>
      <c r="B74" t="s">
        <v>1503</v>
      </c>
      <c r="C74" t="s">
        <v>1743</v>
      </c>
      <c r="D74" t="s">
        <v>2053</v>
      </c>
      <c r="E74" t="s">
        <v>2055</v>
      </c>
      <c r="F74" t="s">
        <v>2050</v>
      </c>
      <c r="G74" t="s">
        <v>2051</v>
      </c>
      <c r="H74" t="s">
        <v>2052</v>
      </c>
      <c r="I74">
        <v>8</v>
      </c>
      <c r="J74" t="s">
        <v>2054</v>
      </c>
      <c r="K74" t="s">
        <v>2056</v>
      </c>
      <c r="L74" t="s">
        <v>2057</v>
      </c>
      <c r="M74" t="s">
        <v>1502</v>
      </c>
      <c r="N74" t="s">
        <v>2058</v>
      </c>
    </row>
    <row r="75" spans="1:14" x14ac:dyDescent="0.3">
      <c r="A75">
        <v>2024</v>
      </c>
      <c r="B75" t="s">
        <v>1503</v>
      </c>
      <c r="C75" t="s">
        <v>715</v>
      </c>
      <c r="D75" t="s">
        <v>1288</v>
      </c>
      <c r="E75" t="s">
        <v>1865</v>
      </c>
      <c r="F75" t="s">
        <v>1862</v>
      </c>
      <c r="G75" t="s">
        <v>1863</v>
      </c>
      <c r="H75" t="s">
        <v>1864</v>
      </c>
      <c r="I75">
        <v>3</v>
      </c>
      <c r="J75" t="s">
        <v>1289</v>
      </c>
      <c r="K75" t="s">
        <v>1866</v>
      </c>
      <c r="L75" t="s">
        <v>1867</v>
      </c>
      <c r="M75" t="s">
        <v>1502</v>
      </c>
      <c r="N75" t="s">
        <v>1868</v>
      </c>
    </row>
    <row r="76" spans="1:14" x14ac:dyDescent="0.3">
      <c r="A76">
        <v>2024</v>
      </c>
      <c r="B76" t="s">
        <v>1503</v>
      </c>
      <c r="C76" t="s">
        <v>715</v>
      </c>
      <c r="D76" t="s">
        <v>1025</v>
      </c>
      <c r="E76" t="s">
        <v>1879</v>
      </c>
      <c r="F76" t="s">
        <v>1876</v>
      </c>
      <c r="G76" t="s">
        <v>1877</v>
      </c>
      <c r="H76" t="s">
        <v>1878</v>
      </c>
      <c r="I76">
        <v>1</v>
      </c>
      <c r="J76" t="s">
        <v>1026</v>
      </c>
      <c r="K76" t="s">
        <v>1880</v>
      </c>
      <c r="L76" t="s">
        <v>1881</v>
      </c>
      <c r="M76" t="s">
        <v>1502</v>
      </c>
      <c r="N76" t="s">
        <v>1882</v>
      </c>
    </row>
    <row r="77" spans="1:14" x14ac:dyDescent="0.3">
      <c r="A77">
        <v>2024</v>
      </c>
      <c r="B77" t="s">
        <v>1503</v>
      </c>
      <c r="C77" t="s">
        <v>715</v>
      </c>
      <c r="D77" t="s">
        <v>1234</v>
      </c>
      <c r="E77" t="s">
        <v>1968</v>
      </c>
      <c r="F77" t="s">
        <v>1965</v>
      </c>
      <c r="G77" t="s">
        <v>1966</v>
      </c>
      <c r="H77" t="s">
        <v>1967</v>
      </c>
      <c r="I77">
        <v>17</v>
      </c>
      <c r="J77" t="s">
        <v>1235</v>
      </c>
      <c r="K77" t="s">
        <v>1969</v>
      </c>
      <c r="L77" t="s">
        <v>1970</v>
      </c>
      <c r="M77" t="s">
        <v>1502</v>
      </c>
      <c r="N77" t="s">
        <v>1971</v>
      </c>
    </row>
    <row r="78" spans="1:14" x14ac:dyDescent="0.3">
      <c r="A78">
        <v>2024</v>
      </c>
      <c r="B78" t="s">
        <v>1503</v>
      </c>
      <c r="C78" t="s">
        <v>715</v>
      </c>
      <c r="D78" t="s">
        <v>1144</v>
      </c>
      <c r="E78" t="s">
        <v>1987</v>
      </c>
      <c r="F78" t="s">
        <v>1984</v>
      </c>
      <c r="G78" t="s">
        <v>1985</v>
      </c>
      <c r="H78" t="s">
        <v>1986</v>
      </c>
      <c r="I78">
        <v>13</v>
      </c>
      <c r="J78" t="s">
        <v>1145</v>
      </c>
      <c r="K78" t="s">
        <v>1988</v>
      </c>
      <c r="L78" t="s">
        <v>1989</v>
      </c>
      <c r="M78" t="s">
        <v>1502</v>
      </c>
      <c r="N78" t="s">
        <v>1990</v>
      </c>
    </row>
    <row r="79" spans="1:14" x14ac:dyDescent="0.3">
      <c r="A79">
        <v>2024</v>
      </c>
      <c r="B79" t="s">
        <v>1503</v>
      </c>
      <c r="C79" t="s">
        <v>715</v>
      </c>
      <c r="D79" t="s">
        <v>1048</v>
      </c>
      <c r="E79" t="s">
        <v>2004</v>
      </c>
      <c r="F79" t="s">
        <v>2001</v>
      </c>
      <c r="G79" t="s">
        <v>2002</v>
      </c>
      <c r="H79" t="s">
        <v>2003</v>
      </c>
      <c r="I79">
        <v>69</v>
      </c>
      <c r="J79" t="s">
        <v>1049</v>
      </c>
      <c r="K79" t="s">
        <v>2005</v>
      </c>
      <c r="L79" t="s">
        <v>2006</v>
      </c>
      <c r="M79" t="s">
        <v>1502</v>
      </c>
      <c r="N79" t="s">
        <v>2007</v>
      </c>
    </row>
    <row r="80" spans="1:14" x14ac:dyDescent="0.3">
      <c r="A80">
        <v>2024</v>
      </c>
      <c r="B80" t="s">
        <v>1503</v>
      </c>
      <c r="C80" t="s">
        <v>715</v>
      </c>
      <c r="D80" t="s">
        <v>1189</v>
      </c>
      <c r="E80" t="s">
        <v>2040</v>
      </c>
      <c r="F80" t="s">
        <v>2037</v>
      </c>
      <c r="G80" t="s">
        <v>2038</v>
      </c>
      <c r="H80" t="s">
        <v>2039</v>
      </c>
      <c r="I80">
        <v>8</v>
      </c>
      <c r="J80" t="s">
        <v>1190</v>
      </c>
      <c r="K80" t="s">
        <v>2041</v>
      </c>
      <c r="L80" t="s">
        <v>2042</v>
      </c>
      <c r="M80" t="s">
        <v>1502</v>
      </c>
      <c r="N80" t="s">
        <v>2043</v>
      </c>
    </row>
    <row r="81" spans="1:14" x14ac:dyDescent="0.3">
      <c r="A81">
        <v>2024</v>
      </c>
      <c r="B81" t="s">
        <v>1503</v>
      </c>
      <c r="C81" t="s">
        <v>715</v>
      </c>
      <c r="D81" t="s">
        <v>1019</v>
      </c>
      <c r="E81" t="s">
        <v>2047</v>
      </c>
      <c r="F81" t="s">
        <v>2044</v>
      </c>
      <c r="G81" t="s">
        <v>2045</v>
      </c>
      <c r="H81" t="s">
        <v>2046</v>
      </c>
      <c r="I81">
        <v>8</v>
      </c>
      <c r="J81" t="s">
        <v>1020</v>
      </c>
      <c r="K81" t="s">
        <v>1022</v>
      </c>
      <c r="L81" t="s">
        <v>2048</v>
      </c>
      <c r="M81" t="s">
        <v>1502</v>
      </c>
      <c r="N81" t="s">
        <v>2049</v>
      </c>
    </row>
    <row r="82" spans="1:14" x14ac:dyDescent="0.3">
      <c r="A82">
        <v>2024</v>
      </c>
      <c r="B82" t="s">
        <v>1503</v>
      </c>
      <c r="C82" t="s">
        <v>715</v>
      </c>
      <c r="D82" t="s">
        <v>1194</v>
      </c>
      <c r="E82" t="s">
        <v>2062</v>
      </c>
      <c r="F82" t="s">
        <v>2059</v>
      </c>
      <c r="G82" t="s">
        <v>2060</v>
      </c>
      <c r="H82" t="s">
        <v>2061</v>
      </c>
      <c r="I82">
        <v>13</v>
      </c>
      <c r="J82" t="s">
        <v>1195</v>
      </c>
      <c r="K82" t="s">
        <v>2063</v>
      </c>
      <c r="L82" t="s">
        <v>2064</v>
      </c>
      <c r="M82" t="s">
        <v>1502</v>
      </c>
      <c r="N82" t="s">
        <v>2065</v>
      </c>
    </row>
    <row r="83" spans="1:14" x14ac:dyDescent="0.3">
      <c r="A83">
        <v>2024</v>
      </c>
      <c r="B83" t="s">
        <v>1503</v>
      </c>
      <c r="C83" t="s">
        <v>715</v>
      </c>
      <c r="D83" t="s">
        <v>1040</v>
      </c>
      <c r="E83" t="s">
        <v>2066</v>
      </c>
      <c r="F83" t="s">
        <v>1699</v>
      </c>
      <c r="G83" t="s">
        <v>1700</v>
      </c>
      <c r="H83" t="s">
        <v>1701</v>
      </c>
      <c r="I83">
        <v>9</v>
      </c>
      <c r="J83" t="s">
        <v>1041</v>
      </c>
      <c r="K83" t="s">
        <v>2067</v>
      </c>
      <c r="L83" t="s">
        <v>2068</v>
      </c>
      <c r="M83" t="s">
        <v>1502</v>
      </c>
      <c r="N83" t="s">
        <v>2069</v>
      </c>
    </row>
    <row r="84" spans="1:14" x14ac:dyDescent="0.3">
      <c r="A84">
        <v>2024</v>
      </c>
      <c r="B84" t="s">
        <v>1503</v>
      </c>
      <c r="C84" t="s">
        <v>715</v>
      </c>
      <c r="D84" t="s">
        <v>1214</v>
      </c>
      <c r="E84" t="s">
        <v>2082</v>
      </c>
      <c r="F84" t="s">
        <v>2079</v>
      </c>
      <c r="G84" t="s">
        <v>2080</v>
      </c>
      <c r="H84" t="s">
        <v>2081</v>
      </c>
      <c r="I84">
        <v>9</v>
      </c>
      <c r="J84" t="s">
        <v>1215</v>
      </c>
      <c r="K84" t="s">
        <v>2083</v>
      </c>
      <c r="L84" t="s">
        <v>2084</v>
      </c>
      <c r="M84" t="s">
        <v>1502</v>
      </c>
      <c r="N84" t="s">
        <v>2085</v>
      </c>
    </row>
    <row r="85" spans="1:14" x14ac:dyDescent="0.3">
      <c r="A85">
        <v>2024</v>
      </c>
      <c r="B85" t="s">
        <v>1503</v>
      </c>
      <c r="C85" t="s">
        <v>715</v>
      </c>
      <c r="D85" t="s">
        <v>1064</v>
      </c>
      <c r="E85" t="s">
        <v>2115</v>
      </c>
      <c r="F85" t="s">
        <v>2112</v>
      </c>
      <c r="G85" t="s">
        <v>2113</v>
      </c>
      <c r="H85" t="s">
        <v>2114</v>
      </c>
      <c r="I85">
        <v>16</v>
      </c>
      <c r="J85" t="s">
        <v>1065</v>
      </c>
      <c r="K85" t="s">
        <v>2116</v>
      </c>
      <c r="L85" t="s">
        <v>2117</v>
      </c>
      <c r="M85" t="s">
        <v>1502</v>
      </c>
      <c r="N85" t="s">
        <v>2118</v>
      </c>
    </row>
    <row r="86" spans="1:14" x14ac:dyDescent="0.3">
      <c r="A86">
        <v>2024</v>
      </c>
      <c r="B86" t="s">
        <v>1503</v>
      </c>
      <c r="C86" t="s">
        <v>715</v>
      </c>
      <c r="D86" t="s">
        <v>1109</v>
      </c>
      <c r="E86" t="s">
        <v>2185</v>
      </c>
      <c r="F86" t="s">
        <v>2183</v>
      </c>
      <c r="G86" t="s">
        <v>2184</v>
      </c>
      <c r="H86">
        <v>57206675364</v>
      </c>
      <c r="I86">
        <v>4</v>
      </c>
      <c r="J86" t="s">
        <v>1110</v>
      </c>
      <c r="K86" t="s">
        <v>2186</v>
      </c>
      <c r="L86" t="s">
        <v>2187</v>
      </c>
      <c r="M86" t="s">
        <v>1502</v>
      </c>
      <c r="N86" t="s">
        <v>2188</v>
      </c>
    </row>
    <row r="87" spans="1:14" x14ac:dyDescent="0.3">
      <c r="A87">
        <v>2024</v>
      </c>
      <c r="B87" t="s">
        <v>1503</v>
      </c>
      <c r="C87" t="s">
        <v>715</v>
      </c>
      <c r="D87" t="s">
        <v>1098</v>
      </c>
      <c r="E87" t="s">
        <v>2192</v>
      </c>
      <c r="F87" t="s">
        <v>2189</v>
      </c>
      <c r="G87" t="s">
        <v>2190</v>
      </c>
      <c r="H87" t="s">
        <v>2191</v>
      </c>
      <c r="I87">
        <v>24</v>
      </c>
      <c r="J87" t="s">
        <v>1099</v>
      </c>
      <c r="K87" t="s">
        <v>2193</v>
      </c>
      <c r="L87" t="s">
        <v>2194</v>
      </c>
      <c r="M87" t="s">
        <v>1502</v>
      </c>
      <c r="N87" t="s">
        <v>2195</v>
      </c>
    </row>
    <row r="88" spans="1:14" x14ac:dyDescent="0.3">
      <c r="A88">
        <v>2024</v>
      </c>
      <c r="B88" t="s">
        <v>1503</v>
      </c>
      <c r="C88" t="s">
        <v>715</v>
      </c>
      <c r="D88" t="s">
        <v>1167</v>
      </c>
      <c r="E88" t="s">
        <v>2218</v>
      </c>
      <c r="F88" t="s">
        <v>2215</v>
      </c>
      <c r="G88" t="s">
        <v>2216</v>
      </c>
      <c r="H88" t="s">
        <v>2217</v>
      </c>
      <c r="I88">
        <v>3</v>
      </c>
      <c r="J88" t="s">
        <v>1168</v>
      </c>
      <c r="K88" t="s">
        <v>2219</v>
      </c>
      <c r="L88" t="s">
        <v>2220</v>
      </c>
      <c r="M88" t="s">
        <v>1502</v>
      </c>
      <c r="N88" t="s">
        <v>2221</v>
      </c>
    </row>
    <row r="89" spans="1:14" x14ac:dyDescent="0.3">
      <c r="A89">
        <v>2024</v>
      </c>
      <c r="B89" t="s">
        <v>1503</v>
      </c>
      <c r="C89" t="s">
        <v>715</v>
      </c>
      <c r="D89" t="s">
        <v>1053</v>
      </c>
      <c r="E89" t="s">
        <v>2222</v>
      </c>
      <c r="F89" t="s">
        <v>2196</v>
      </c>
      <c r="G89" t="s">
        <v>2197</v>
      </c>
      <c r="H89" t="s">
        <v>2198</v>
      </c>
      <c r="I89">
        <v>21</v>
      </c>
      <c r="J89" t="s">
        <v>1054</v>
      </c>
      <c r="K89" t="s">
        <v>1056</v>
      </c>
      <c r="L89" t="s">
        <v>2223</v>
      </c>
      <c r="M89" t="s">
        <v>1502</v>
      </c>
      <c r="N89" t="s">
        <v>2224</v>
      </c>
    </row>
    <row r="90" spans="1:14" x14ac:dyDescent="0.3">
      <c r="A90">
        <v>2024</v>
      </c>
      <c r="B90" t="s">
        <v>1503</v>
      </c>
      <c r="C90" t="s">
        <v>715</v>
      </c>
      <c r="D90" t="s">
        <v>1093</v>
      </c>
      <c r="E90" t="s">
        <v>2241</v>
      </c>
      <c r="F90" t="s">
        <v>1876</v>
      </c>
      <c r="G90" t="s">
        <v>1877</v>
      </c>
      <c r="H90" t="s">
        <v>1878</v>
      </c>
      <c r="I90">
        <v>12</v>
      </c>
      <c r="J90" t="s">
        <v>1094</v>
      </c>
      <c r="K90" t="s">
        <v>2242</v>
      </c>
      <c r="L90" t="s">
        <v>2243</v>
      </c>
      <c r="M90" t="s">
        <v>1502</v>
      </c>
      <c r="N90" t="s">
        <v>2244</v>
      </c>
    </row>
    <row r="91" spans="1:14" x14ac:dyDescent="0.3">
      <c r="A91">
        <v>2024</v>
      </c>
      <c r="B91" t="s">
        <v>1503</v>
      </c>
      <c r="C91" t="s">
        <v>715</v>
      </c>
      <c r="D91" t="s">
        <v>1219</v>
      </c>
      <c r="E91" t="s">
        <v>2256</v>
      </c>
      <c r="F91" t="s">
        <v>2253</v>
      </c>
      <c r="G91" t="s">
        <v>2254</v>
      </c>
      <c r="H91" t="s">
        <v>2255</v>
      </c>
      <c r="I91">
        <v>17</v>
      </c>
      <c r="J91" t="s">
        <v>1220</v>
      </c>
      <c r="K91" t="s">
        <v>2257</v>
      </c>
      <c r="L91" t="s">
        <v>2258</v>
      </c>
      <c r="M91" t="s">
        <v>1502</v>
      </c>
      <c r="N91" t="s">
        <v>2259</v>
      </c>
    </row>
    <row r="92" spans="1:14" x14ac:dyDescent="0.3">
      <c r="A92">
        <v>2024</v>
      </c>
      <c r="B92" t="s">
        <v>1503</v>
      </c>
      <c r="C92" t="s">
        <v>1716</v>
      </c>
      <c r="D92" t="s">
        <v>1856</v>
      </c>
      <c r="E92" t="s">
        <v>1858</v>
      </c>
      <c r="F92" t="s">
        <v>1853</v>
      </c>
      <c r="G92" t="s">
        <v>1854</v>
      </c>
      <c r="H92" t="s">
        <v>1855</v>
      </c>
      <c r="I92">
        <v>2</v>
      </c>
      <c r="J92" t="s">
        <v>1857</v>
      </c>
      <c r="K92" t="s">
        <v>1859</v>
      </c>
      <c r="L92" t="s">
        <v>1860</v>
      </c>
      <c r="M92" t="s">
        <v>1502</v>
      </c>
      <c r="N92" t="s">
        <v>1861</v>
      </c>
    </row>
    <row r="93" spans="1:14" x14ac:dyDescent="0.3">
      <c r="A93">
        <v>2024</v>
      </c>
      <c r="B93" t="s">
        <v>1503</v>
      </c>
      <c r="C93" t="s">
        <v>1771</v>
      </c>
      <c r="D93" t="s">
        <v>1907</v>
      </c>
      <c r="E93" t="s">
        <v>1908</v>
      </c>
      <c r="F93" t="s">
        <v>1905</v>
      </c>
      <c r="G93" t="s">
        <v>1906</v>
      </c>
      <c r="H93">
        <v>55604498000</v>
      </c>
      <c r="I93">
        <v>1</v>
      </c>
      <c r="K93" t="s">
        <v>1909</v>
      </c>
      <c r="L93" t="s">
        <v>1910</v>
      </c>
      <c r="M93" t="s">
        <v>1502</v>
      </c>
      <c r="N93" t="s">
        <v>1911</v>
      </c>
    </row>
    <row r="94" spans="1:14" x14ac:dyDescent="0.3">
      <c r="A94">
        <v>2024</v>
      </c>
      <c r="B94" t="s">
        <v>1503</v>
      </c>
      <c r="C94" t="s">
        <v>2169</v>
      </c>
      <c r="D94" t="s">
        <v>2168</v>
      </c>
      <c r="E94" t="s">
        <v>2171</v>
      </c>
      <c r="F94" t="s">
        <v>2165</v>
      </c>
      <c r="G94" t="s">
        <v>2166</v>
      </c>
      <c r="H94" t="s">
        <v>2167</v>
      </c>
      <c r="I94">
        <v>1</v>
      </c>
      <c r="J94" t="s">
        <v>2170</v>
      </c>
      <c r="K94" t="s">
        <v>2172</v>
      </c>
      <c r="L94" t="s">
        <v>2173</v>
      </c>
      <c r="M94" t="s">
        <v>1502</v>
      </c>
      <c r="N94" t="s">
        <v>2174</v>
      </c>
    </row>
    <row r="95" spans="1:14" x14ac:dyDescent="0.3">
      <c r="A95">
        <v>2024</v>
      </c>
      <c r="B95" t="s">
        <v>1503</v>
      </c>
      <c r="C95" t="s">
        <v>1710</v>
      </c>
      <c r="D95" t="s">
        <v>2011</v>
      </c>
      <c r="E95" t="s">
        <v>2013</v>
      </c>
      <c r="F95" t="s">
        <v>2008</v>
      </c>
      <c r="G95" t="s">
        <v>2009</v>
      </c>
      <c r="H95" t="s">
        <v>2010</v>
      </c>
      <c r="I95">
        <v>0</v>
      </c>
      <c r="J95" t="s">
        <v>2012</v>
      </c>
      <c r="K95" t="s">
        <v>2014</v>
      </c>
      <c r="L95" t="s">
        <v>2015</v>
      </c>
      <c r="M95" t="s">
        <v>1502</v>
      </c>
      <c r="N95" t="s">
        <v>2016</v>
      </c>
    </row>
    <row r="96" spans="1:14" x14ac:dyDescent="0.3">
      <c r="A96">
        <v>2024</v>
      </c>
      <c r="B96" t="s">
        <v>1503</v>
      </c>
      <c r="C96" t="s">
        <v>1710</v>
      </c>
      <c r="D96" t="s">
        <v>2020</v>
      </c>
      <c r="E96" t="s">
        <v>2022</v>
      </c>
      <c r="F96" t="s">
        <v>2017</v>
      </c>
      <c r="G96" t="s">
        <v>2018</v>
      </c>
      <c r="H96" t="s">
        <v>2019</v>
      </c>
      <c r="I96">
        <v>1</v>
      </c>
      <c r="J96" t="s">
        <v>2021</v>
      </c>
      <c r="K96" t="s">
        <v>2023</v>
      </c>
      <c r="L96" t="s">
        <v>2024</v>
      </c>
      <c r="M96" t="s">
        <v>1502</v>
      </c>
      <c r="N96" t="s">
        <v>2025</v>
      </c>
    </row>
    <row r="97" spans="1:14" x14ac:dyDescent="0.3">
      <c r="A97">
        <v>2024</v>
      </c>
      <c r="B97" t="s">
        <v>1503</v>
      </c>
      <c r="C97" t="s">
        <v>2132</v>
      </c>
      <c r="D97" t="s">
        <v>2131</v>
      </c>
      <c r="E97" t="s">
        <v>2134</v>
      </c>
      <c r="F97" t="s">
        <v>2128</v>
      </c>
      <c r="G97" t="s">
        <v>2129</v>
      </c>
      <c r="H97" t="s">
        <v>2130</v>
      </c>
      <c r="I97">
        <v>5</v>
      </c>
      <c r="J97" t="s">
        <v>2133</v>
      </c>
      <c r="K97" t="s">
        <v>2135</v>
      </c>
      <c r="M97" t="s">
        <v>1502</v>
      </c>
      <c r="N97" t="s">
        <v>2136</v>
      </c>
    </row>
    <row r="98" spans="1:14" x14ac:dyDescent="0.3">
      <c r="A98">
        <v>2024</v>
      </c>
      <c r="B98" t="s">
        <v>1503</v>
      </c>
      <c r="C98" t="s">
        <v>2179</v>
      </c>
      <c r="D98" t="s">
        <v>2178</v>
      </c>
      <c r="E98" t="s">
        <v>2180</v>
      </c>
      <c r="F98" t="s">
        <v>2175</v>
      </c>
      <c r="G98" t="s">
        <v>2176</v>
      </c>
      <c r="H98" t="s">
        <v>2177</v>
      </c>
      <c r="I98">
        <v>1</v>
      </c>
      <c r="K98" t="s">
        <v>2181</v>
      </c>
      <c r="M98" t="s">
        <v>1502</v>
      </c>
      <c r="N98" t="s">
        <v>2182</v>
      </c>
    </row>
    <row r="99" spans="1:14" x14ac:dyDescent="0.3">
      <c r="A99">
        <v>2024</v>
      </c>
      <c r="B99" t="s">
        <v>1503</v>
      </c>
      <c r="C99" t="s">
        <v>2030</v>
      </c>
      <c r="D99" t="s">
        <v>2029</v>
      </c>
      <c r="E99" t="s">
        <v>2032</v>
      </c>
      <c r="F99" t="s">
        <v>2026</v>
      </c>
      <c r="G99" t="s">
        <v>2027</v>
      </c>
      <c r="H99" t="s">
        <v>2028</v>
      </c>
      <c r="I99">
        <v>9</v>
      </c>
      <c r="J99" t="s">
        <v>2031</v>
      </c>
      <c r="K99" t="s">
        <v>2033</v>
      </c>
      <c r="L99" t="s">
        <v>2034</v>
      </c>
      <c r="M99" t="s">
        <v>1502</v>
      </c>
      <c r="N99" t="s">
        <v>2035</v>
      </c>
    </row>
    <row r="100" spans="1:14" x14ac:dyDescent="0.3">
      <c r="A100">
        <v>2024</v>
      </c>
      <c r="B100" t="s">
        <v>1503</v>
      </c>
      <c r="C100" t="s">
        <v>2030</v>
      </c>
      <c r="D100" t="s">
        <v>2228</v>
      </c>
      <c r="E100" t="s">
        <v>2230</v>
      </c>
      <c r="F100" t="s">
        <v>2225</v>
      </c>
      <c r="G100" t="s">
        <v>2226</v>
      </c>
      <c r="H100" t="s">
        <v>2227</v>
      </c>
      <c r="I100">
        <v>5</v>
      </c>
      <c r="J100" t="s">
        <v>2229</v>
      </c>
      <c r="K100" t="s">
        <v>2231</v>
      </c>
      <c r="L100" t="s">
        <v>2232</v>
      </c>
      <c r="M100" t="s">
        <v>1502</v>
      </c>
      <c r="N100" t="s">
        <v>2233</v>
      </c>
    </row>
    <row r="101" spans="1:14" x14ac:dyDescent="0.3">
      <c r="A101">
        <v>2024</v>
      </c>
      <c r="B101" t="s">
        <v>1503</v>
      </c>
      <c r="C101" t="s">
        <v>1613</v>
      </c>
      <c r="D101" t="s">
        <v>2209</v>
      </c>
      <c r="E101" t="s">
        <v>2211</v>
      </c>
      <c r="F101" t="s">
        <v>2207</v>
      </c>
      <c r="G101" t="s">
        <v>2208</v>
      </c>
      <c r="H101">
        <v>57216940144</v>
      </c>
      <c r="I101">
        <v>53</v>
      </c>
      <c r="J101" t="s">
        <v>2210</v>
      </c>
      <c r="K101" t="s">
        <v>2212</v>
      </c>
      <c r="L101" t="s">
        <v>2213</v>
      </c>
      <c r="M101" t="s">
        <v>1502</v>
      </c>
      <c r="N101" t="s">
        <v>2214</v>
      </c>
    </row>
    <row r="102" spans="1:14" x14ac:dyDescent="0.3">
      <c r="A102">
        <v>2024</v>
      </c>
      <c r="B102" t="s">
        <v>1503</v>
      </c>
      <c r="C102" t="s">
        <v>1830</v>
      </c>
      <c r="D102" t="s">
        <v>1829</v>
      </c>
      <c r="E102" t="s">
        <v>1832</v>
      </c>
      <c r="F102" t="s">
        <v>1586</v>
      </c>
      <c r="G102" t="s">
        <v>1587</v>
      </c>
      <c r="H102" t="s">
        <v>1588</v>
      </c>
      <c r="I102">
        <v>4</v>
      </c>
      <c r="J102" t="s">
        <v>1831</v>
      </c>
      <c r="K102" t="s">
        <v>1833</v>
      </c>
      <c r="L102" t="s">
        <v>1834</v>
      </c>
      <c r="M102" t="s">
        <v>1502</v>
      </c>
      <c r="N102" t="s">
        <v>1835</v>
      </c>
    </row>
    <row r="103" spans="1:14" x14ac:dyDescent="0.3">
      <c r="A103">
        <v>2024</v>
      </c>
      <c r="B103" t="s">
        <v>1503</v>
      </c>
      <c r="C103" t="s">
        <v>1584</v>
      </c>
      <c r="D103" t="s">
        <v>1892</v>
      </c>
      <c r="E103" t="s">
        <v>1894</v>
      </c>
      <c r="F103" t="s">
        <v>1889</v>
      </c>
      <c r="G103" t="s">
        <v>1890</v>
      </c>
      <c r="H103" t="s">
        <v>1891</v>
      </c>
      <c r="I103">
        <v>1</v>
      </c>
      <c r="J103" t="s">
        <v>1893</v>
      </c>
      <c r="K103" t="s">
        <v>1895</v>
      </c>
      <c r="L103" t="s">
        <v>1896</v>
      </c>
      <c r="M103" t="s">
        <v>1502</v>
      </c>
      <c r="N103" t="s">
        <v>1897</v>
      </c>
    </row>
    <row r="104" spans="1:14" x14ac:dyDescent="0.3">
      <c r="A104">
        <v>2024</v>
      </c>
      <c r="B104" t="s">
        <v>1503</v>
      </c>
      <c r="C104" t="s">
        <v>965</v>
      </c>
      <c r="D104" t="s">
        <v>1035</v>
      </c>
      <c r="E104" t="s">
        <v>2140</v>
      </c>
      <c r="F104" t="s">
        <v>2137</v>
      </c>
      <c r="G104" t="s">
        <v>2138</v>
      </c>
      <c r="H104" t="s">
        <v>2139</v>
      </c>
      <c r="I104">
        <v>2</v>
      </c>
      <c r="J104" t="s">
        <v>1036</v>
      </c>
      <c r="K104" t="s">
        <v>2141</v>
      </c>
      <c r="M104" t="s">
        <v>1502</v>
      </c>
      <c r="N104" t="s">
        <v>2142</v>
      </c>
    </row>
    <row r="105" spans="1:14" x14ac:dyDescent="0.3">
      <c r="A105">
        <v>2024</v>
      </c>
      <c r="B105" t="s">
        <v>1503</v>
      </c>
      <c r="C105" t="s">
        <v>764</v>
      </c>
      <c r="D105" t="s">
        <v>1152</v>
      </c>
      <c r="E105" t="s">
        <v>1915</v>
      </c>
      <c r="F105" t="s">
        <v>1912</v>
      </c>
      <c r="G105" t="s">
        <v>1913</v>
      </c>
      <c r="H105" t="s">
        <v>1914</v>
      </c>
      <c r="I105">
        <v>1</v>
      </c>
      <c r="J105" t="s">
        <v>1153</v>
      </c>
      <c r="K105" t="s">
        <v>1916</v>
      </c>
      <c r="L105" t="s">
        <v>1917</v>
      </c>
      <c r="M105" t="s">
        <v>1502</v>
      </c>
      <c r="N105" t="s">
        <v>1918</v>
      </c>
    </row>
    <row r="106" spans="1:14" x14ac:dyDescent="0.3">
      <c r="A106">
        <v>2024</v>
      </c>
      <c r="B106" t="s">
        <v>1503</v>
      </c>
      <c r="C106" t="s">
        <v>1698</v>
      </c>
      <c r="D106" t="s">
        <v>2073</v>
      </c>
      <c r="E106" t="s">
        <v>2075</v>
      </c>
      <c r="F106" t="s">
        <v>2070</v>
      </c>
      <c r="G106" t="s">
        <v>2071</v>
      </c>
      <c r="H106" t="s">
        <v>2072</v>
      </c>
      <c r="I106">
        <v>2</v>
      </c>
      <c r="J106" t="s">
        <v>2074</v>
      </c>
      <c r="K106" t="s">
        <v>2076</v>
      </c>
      <c r="L106" t="s">
        <v>2077</v>
      </c>
      <c r="M106" t="s">
        <v>1502</v>
      </c>
      <c r="N106" t="s">
        <v>2078</v>
      </c>
    </row>
    <row r="107" spans="1:14" x14ac:dyDescent="0.3">
      <c r="A107">
        <v>2024</v>
      </c>
      <c r="B107" t="s">
        <v>1503</v>
      </c>
      <c r="C107" t="s">
        <v>724</v>
      </c>
      <c r="D107" t="s">
        <v>1174</v>
      </c>
      <c r="E107" t="s">
        <v>2153</v>
      </c>
      <c r="F107" t="s">
        <v>2150</v>
      </c>
      <c r="G107" t="s">
        <v>2151</v>
      </c>
      <c r="H107" t="s">
        <v>2152</v>
      </c>
      <c r="I107">
        <v>2</v>
      </c>
      <c r="J107" t="s">
        <v>1175</v>
      </c>
      <c r="K107" t="s">
        <v>2154</v>
      </c>
      <c r="L107" t="s">
        <v>2155</v>
      </c>
      <c r="M107" t="s">
        <v>1502</v>
      </c>
      <c r="N107" t="s">
        <v>2156</v>
      </c>
    </row>
    <row r="108" spans="1:14" x14ac:dyDescent="0.3">
      <c r="A108">
        <v>2024</v>
      </c>
      <c r="B108" t="s">
        <v>1503</v>
      </c>
      <c r="C108" t="s">
        <v>724</v>
      </c>
      <c r="D108" t="s">
        <v>2160</v>
      </c>
      <c r="E108" t="s">
        <v>2161</v>
      </c>
      <c r="F108" t="s">
        <v>2157</v>
      </c>
      <c r="G108" t="s">
        <v>2158</v>
      </c>
      <c r="H108" t="s">
        <v>2159</v>
      </c>
      <c r="I108">
        <v>12</v>
      </c>
      <c r="J108" t="s">
        <v>1210</v>
      </c>
      <c r="K108" t="s">
        <v>2162</v>
      </c>
      <c r="L108" t="s">
        <v>2163</v>
      </c>
      <c r="M108" t="s">
        <v>1502</v>
      </c>
      <c r="N108" t="s">
        <v>2164</v>
      </c>
    </row>
    <row r="109" spans="1:14" x14ac:dyDescent="0.3">
      <c r="A109">
        <v>2024</v>
      </c>
      <c r="B109" t="s">
        <v>1503</v>
      </c>
      <c r="C109" t="s">
        <v>1524</v>
      </c>
      <c r="D109" t="s">
        <v>2097</v>
      </c>
      <c r="E109" t="s">
        <v>2099</v>
      </c>
      <c r="F109" t="s">
        <v>2094</v>
      </c>
      <c r="G109" t="s">
        <v>2095</v>
      </c>
      <c r="H109" t="s">
        <v>2096</v>
      </c>
      <c r="I109">
        <v>3</v>
      </c>
      <c r="J109" t="s">
        <v>2098</v>
      </c>
      <c r="K109" t="s">
        <v>2100</v>
      </c>
      <c r="L109" t="s">
        <v>2101</v>
      </c>
      <c r="M109" t="s">
        <v>1502</v>
      </c>
      <c r="N109" t="s">
        <v>2102</v>
      </c>
    </row>
    <row r="110" spans="1:14" x14ac:dyDescent="0.3">
      <c r="A110">
        <v>2024</v>
      </c>
      <c r="B110" t="s">
        <v>1503</v>
      </c>
      <c r="C110" t="s">
        <v>1995</v>
      </c>
      <c r="D110" t="s">
        <v>1994</v>
      </c>
      <c r="E110" t="s">
        <v>1997</v>
      </c>
      <c r="F110" t="s">
        <v>1991</v>
      </c>
      <c r="G110" t="s">
        <v>1992</v>
      </c>
      <c r="H110" t="s">
        <v>1993</v>
      </c>
      <c r="I110">
        <v>34</v>
      </c>
      <c r="J110" t="s">
        <v>1996</v>
      </c>
      <c r="K110" t="s">
        <v>1998</v>
      </c>
      <c r="L110" t="s">
        <v>1999</v>
      </c>
      <c r="M110" t="s">
        <v>1502</v>
      </c>
      <c r="N110" t="s">
        <v>2000</v>
      </c>
    </row>
    <row r="111" spans="1:14" x14ac:dyDescent="0.3">
      <c r="A111">
        <v>2024</v>
      </c>
      <c r="B111" t="s">
        <v>1503</v>
      </c>
      <c r="C111" t="s">
        <v>853</v>
      </c>
      <c r="D111" t="s">
        <v>1133</v>
      </c>
      <c r="E111" t="s">
        <v>2237</v>
      </c>
      <c r="F111" t="s">
        <v>2234</v>
      </c>
      <c r="G111" t="s">
        <v>2235</v>
      </c>
      <c r="H111" t="s">
        <v>2236</v>
      </c>
      <c r="I111">
        <v>8</v>
      </c>
      <c r="J111" t="s">
        <v>1134</v>
      </c>
      <c r="K111" t="s">
        <v>2238</v>
      </c>
      <c r="L111" t="s">
        <v>2239</v>
      </c>
      <c r="M111" t="s">
        <v>1502</v>
      </c>
      <c r="N111" t="s">
        <v>2240</v>
      </c>
    </row>
    <row r="112" spans="1:14" x14ac:dyDescent="0.3">
      <c r="A112">
        <v>2024</v>
      </c>
      <c r="B112" t="s">
        <v>1503</v>
      </c>
      <c r="C112" t="s">
        <v>1578</v>
      </c>
      <c r="D112" t="s">
        <v>2248</v>
      </c>
      <c r="E112" t="s">
        <v>2249</v>
      </c>
      <c r="F112" t="s">
        <v>2245</v>
      </c>
      <c r="G112" t="s">
        <v>2246</v>
      </c>
      <c r="H112" t="s">
        <v>2247</v>
      </c>
      <c r="I112">
        <v>7</v>
      </c>
      <c r="J112" t="s">
        <v>200</v>
      </c>
      <c r="K112" t="s">
        <v>2250</v>
      </c>
      <c r="L112" t="s">
        <v>2251</v>
      </c>
      <c r="M112" t="s">
        <v>1502</v>
      </c>
      <c r="N112" t="s">
        <v>2252</v>
      </c>
    </row>
    <row r="113" spans="1:14" x14ac:dyDescent="0.3">
      <c r="A113">
        <v>2024</v>
      </c>
      <c r="B113" t="s">
        <v>1503</v>
      </c>
      <c r="C113" t="s">
        <v>1621</v>
      </c>
      <c r="D113" t="s">
        <v>1932</v>
      </c>
      <c r="E113" t="s">
        <v>1934</v>
      </c>
      <c r="F113" t="s">
        <v>1929</v>
      </c>
      <c r="G113" t="s">
        <v>1930</v>
      </c>
      <c r="H113" t="s">
        <v>1931</v>
      </c>
      <c r="I113">
        <v>2</v>
      </c>
      <c r="J113" t="s">
        <v>1933</v>
      </c>
      <c r="K113" t="s">
        <v>1935</v>
      </c>
      <c r="L113" t="s">
        <v>1936</v>
      </c>
      <c r="M113" t="s">
        <v>1502</v>
      </c>
      <c r="N113" t="s">
        <v>1937</v>
      </c>
    </row>
    <row r="114" spans="1:14" x14ac:dyDescent="0.3">
      <c r="A114">
        <v>2024</v>
      </c>
      <c r="B114" t="s">
        <v>1503</v>
      </c>
      <c r="C114" t="s">
        <v>1606</v>
      </c>
      <c r="D114" t="s">
        <v>1839</v>
      </c>
      <c r="E114" t="s">
        <v>1841</v>
      </c>
      <c r="F114" t="s">
        <v>1836</v>
      </c>
      <c r="G114" t="s">
        <v>1837</v>
      </c>
      <c r="H114" t="s">
        <v>1838</v>
      </c>
      <c r="I114">
        <v>3</v>
      </c>
      <c r="J114" t="s">
        <v>1840</v>
      </c>
      <c r="K114" t="s">
        <v>1842</v>
      </c>
      <c r="L114" t="s">
        <v>1843</v>
      </c>
      <c r="M114" t="s">
        <v>1502</v>
      </c>
      <c r="N114" t="s">
        <v>1844</v>
      </c>
    </row>
    <row r="115" spans="1:14" x14ac:dyDescent="0.3">
      <c r="A115">
        <v>2024</v>
      </c>
      <c r="B115" t="s">
        <v>1503</v>
      </c>
      <c r="C115" t="s">
        <v>1635</v>
      </c>
      <c r="D115" t="s">
        <v>1900</v>
      </c>
      <c r="E115" t="s">
        <v>1902</v>
      </c>
      <c r="F115" t="s">
        <v>1898</v>
      </c>
      <c r="G115" t="s">
        <v>1899</v>
      </c>
      <c r="H115">
        <v>55549511800</v>
      </c>
      <c r="I115">
        <v>5</v>
      </c>
      <c r="J115" t="s">
        <v>1901</v>
      </c>
      <c r="K115" t="s">
        <v>1903</v>
      </c>
      <c r="M115" t="s">
        <v>1502</v>
      </c>
      <c r="N115" t="s">
        <v>1904</v>
      </c>
    </row>
    <row r="116" spans="1:14" x14ac:dyDescent="0.3">
      <c r="A116">
        <v>2024</v>
      </c>
      <c r="B116" t="s">
        <v>1503</v>
      </c>
      <c r="C116" t="s">
        <v>1612</v>
      </c>
      <c r="D116" t="s">
        <v>1959</v>
      </c>
      <c r="E116" t="s">
        <v>1961</v>
      </c>
      <c r="F116" t="s">
        <v>1956</v>
      </c>
      <c r="G116" t="s">
        <v>1957</v>
      </c>
      <c r="H116" t="s">
        <v>1958</v>
      </c>
      <c r="I116">
        <v>5</v>
      </c>
      <c r="J116" t="s">
        <v>1960</v>
      </c>
      <c r="K116" t="s">
        <v>1962</v>
      </c>
      <c r="L116" t="s">
        <v>1963</v>
      </c>
      <c r="M116" t="s">
        <v>1502</v>
      </c>
      <c r="N116" t="s">
        <v>1964</v>
      </c>
    </row>
    <row r="117" spans="1:14" x14ac:dyDescent="0.3">
      <c r="A117">
        <v>2024</v>
      </c>
      <c r="B117" t="s">
        <v>1503</v>
      </c>
      <c r="C117" t="s">
        <v>1516</v>
      </c>
      <c r="D117" t="s">
        <v>2122</v>
      </c>
      <c r="E117" t="s">
        <v>2124</v>
      </c>
      <c r="F117" t="s">
        <v>2119</v>
      </c>
      <c r="G117" t="s">
        <v>2120</v>
      </c>
      <c r="H117" t="s">
        <v>2121</v>
      </c>
      <c r="I117">
        <v>4</v>
      </c>
      <c r="J117" t="s">
        <v>2123</v>
      </c>
      <c r="K117" t="s">
        <v>2125</v>
      </c>
      <c r="L117" t="s">
        <v>2126</v>
      </c>
      <c r="M117" t="s">
        <v>1502</v>
      </c>
      <c r="N117" t="s">
        <v>2127</v>
      </c>
    </row>
    <row r="118" spans="1:14" x14ac:dyDescent="0.3">
      <c r="A118">
        <v>2025</v>
      </c>
      <c r="B118" t="s">
        <v>1503</v>
      </c>
      <c r="C118" t="s">
        <v>770</v>
      </c>
      <c r="D118" t="s">
        <v>1381</v>
      </c>
      <c r="E118" t="s">
        <v>1617</v>
      </c>
      <c r="F118" t="s">
        <v>1614</v>
      </c>
      <c r="G118" t="s">
        <v>1615</v>
      </c>
      <c r="H118" t="s">
        <v>1616</v>
      </c>
      <c r="I118">
        <v>1</v>
      </c>
      <c r="J118" t="s">
        <v>1382</v>
      </c>
      <c r="K118" t="s">
        <v>1618</v>
      </c>
      <c r="L118" t="s">
        <v>1619</v>
      </c>
      <c r="M118" t="s">
        <v>1502</v>
      </c>
      <c r="N118" t="s">
        <v>1620</v>
      </c>
    </row>
    <row r="119" spans="1:14" x14ac:dyDescent="0.3">
      <c r="A119">
        <v>2025</v>
      </c>
      <c r="B119" t="s">
        <v>1503</v>
      </c>
      <c r="C119" t="s">
        <v>770</v>
      </c>
      <c r="D119" t="s">
        <v>1625</v>
      </c>
      <c r="E119" t="s">
        <v>1627</v>
      </c>
      <c r="F119" t="s">
        <v>1622</v>
      </c>
      <c r="G119" t="s">
        <v>1623</v>
      </c>
      <c r="H119" t="s">
        <v>1624</v>
      </c>
      <c r="I119">
        <v>0</v>
      </c>
      <c r="J119" t="s">
        <v>1626</v>
      </c>
      <c r="K119" t="s">
        <v>1628</v>
      </c>
      <c r="L119" t="s">
        <v>1629</v>
      </c>
      <c r="M119" t="s">
        <v>1502</v>
      </c>
      <c r="N119" t="s">
        <v>1630</v>
      </c>
    </row>
    <row r="120" spans="1:14" x14ac:dyDescent="0.3">
      <c r="A120">
        <v>2025</v>
      </c>
      <c r="B120" t="s">
        <v>1503</v>
      </c>
      <c r="C120" t="s">
        <v>770</v>
      </c>
      <c r="D120" t="s">
        <v>1650</v>
      </c>
      <c r="E120" t="s">
        <v>1652</v>
      </c>
      <c r="F120" t="s">
        <v>1647</v>
      </c>
      <c r="G120" t="s">
        <v>1648</v>
      </c>
      <c r="H120" t="s">
        <v>1649</v>
      </c>
      <c r="I120">
        <v>0</v>
      </c>
      <c r="J120" t="s">
        <v>1651</v>
      </c>
      <c r="K120" t="s">
        <v>1653</v>
      </c>
      <c r="L120" t="s">
        <v>1654</v>
      </c>
      <c r="M120" t="s">
        <v>1502</v>
      </c>
      <c r="N120" t="s">
        <v>1655</v>
      </c>
    </row>
    <row r="121" spans="1:14" x14ac:dyDescent="0.3">
      <c r="A121">
        <v>2025</v>
      </c>
      <c r="B121" t="s">
        <v>1503</v>
      </c>
      <c r="C121" t="s">
        <v>1721</v>
      </c>
      <c r="D121" t="s">
        <v>1720</v>
      </c>
      <c r="E121" t="s">
        <v>1723</v>
      </c>
      <c r="F121" t="s">
        <v>1717</v>
      </c>
      <c r="G121" t="s">
        <v>1718</v>
      </c>
      <c r="H121" t="s">
        <v>1719</v>
      </c>
      <c r="I121">
        <v>0</v>
      </c>
      <c r="J121" t="s">
        <v>1722</v>
      </c>
      <c r="K121" t="s">
        <v>1724</v>
      </c>
      <c r="L121" t="s">
        <v>1725</v>
      </c>
      <c r="M121" t="s">
        <v>1502</v>
      </c>
      <c r="N121" t="s">
        <v>1726</v>
      </c>
    </row>
    <row r="122" spans="1:14" x14ac:dyDescent="0.3">
      <c r="A122">
        <v>2025</v>
      </c>
      <c r="B122" t="s">
        <v>1503</v>
      </c>
      <c r="C122" t="s">
        <v>1514</v>
      </c>
      <c r="D122" t="s">
        <v>1569</v>
      </c>
      <c r="E122" t="s">
        <v>1571</v>
      </c>
      <c r="F122" t="s">
        <v>1566</v>
      </c>
      <c r="G122" t="s">
        <v>1567</v>
      </c>
      <c r="H122" t="s">
        <v>1568</v>
      </c>
      <c r="I122">
        <v>0</v>
      </c>
      <c r="J122" t="s">
        <v>1570</v>
      </c>
      <c r="K122" t="s">
        <v>1572</v>
      </c>
      <c r="L122" t="s">
        <v>1573</v>
      </c>
      <c r="M122" t="s">
        <v>1502</v>
      </c>
      <c r="N122" t="s">
        <v>1574</v>
      </c>
    </row>
    <row r="123" spans="1:14" x14ac:dyDescent="0.3">
      <c r="A123">
        <v>2025</v>
      </c>
      <c r="B123" t="s">
        <v>1503</v>
      </c>
      <c r="C123" t="s">
        <v>1514</v>
      </c>
      <c r="D123" t="s">
        <v>1765</v>
      </c>
      <c r="E123" t="s">
        <v>1767</v>
      </c>
      <c r="F123" t="s">
        <v>1762</v>
      </c>
      <c r="G123" t="s">
        <v>1763</v>
      </c>
      <c r="H123" t="s">
        <v>1764</v>
      </c>
      <c r="I123">
        <v>1</v>
      </c>
      <c r="J123" t="s">
        <v>1766</v>
      </c>
      <c r="K123" t="s">
        <v>1768</v>
      </c>
      <c r="L123" t="s">
        <v>1769</v>
      </c>
      <c r="M123" t="s">
        <v>1502</v>
      </c>
      <c r="N123" t="s">
        <v>1770</v>
      </c>
    </row>
    <row r="124" spans="1:14" x14ac:dyDescent="0.3">
      <c r="A124">
        <v>2025</v>
      </c>
      <c r="B124" t="s">
        <v>1503</v>
      </c>
      <c r="C124" t="s">
        <v>1514</v>
      </c>
      <c r="D124" t="s">
        <v>1805</v>
      </c>
      <c r="E124" t="s">
        <v>1807</v>
      </c>
      <c r="F124" t="s">
        <v>1802</v>
      </c>
      <c r="G124" t="s">
        <v>1803</v>
      </c>
      <c r="H124" t="s">
        <v>1804</v>
      </c>
      <c r="I124">
        <v>0</v>
      </c>
      <c r="J124" t="s">
        <v>1806</v>
      </c>
      <c r="K124" t="s">
        <v>1808</v>
      </c>
      <c r="L124" t="s">
        <v>1809</v>
      </c>
      <c r="M124" t="s">
        <v>1502</v>
      </c>
      <c r="N124" t="s">
        <v>1810</v>
      </c>
    </row>
    <row r="125" spans="1:14" x14ac:dyDescent="0.3">
      <c r="A125">
        <v>2025</v>
      </c>
      <c r="B125" t="s">
        <v>1503</v>
      </c>
      <c r="C125" t="s">
        <v>880</v>
      </c>
      <c r="D125" t="s">
        <v>1389</v>
      </c>
      <c r="E125" t="s">
        <v>1589</v>
      </c>
      <c r="F125" t="s">
        <v>1586</v>
      </c>
      <c r="G125" t="s">
        <v>1587</v>
      </c>
      <c r="H125" t="s">
        <v>1588</v>
      </c>
      <c r="I125">
        <v>0</v>
      </c>
      <c r="J125" t="s">
        <v>1390</v>
      </c>
      <c r="K125" t="s">
        <v>1590</v>
      </c>
      <c r="L125" t="s">
        <v>1591</v>
      </c>
      <c r="M125" t="s">
        <v>1502</v>
      </c>
      <c r="N125" t="s">
        <v>1592</v>
      </c>
    </row>
    <row r="126" spans="1:14" x14ac:dyDescent="0.3">
      <c r="A126">
        <v>2025</v>
      </c>
      <c r="B126" t="s">
        <v>1503</v>
      </c>
      <c r="C126" t="s">
        <v>1501</v>
      </c>
      <c r="D126" t="s">
        <v>1596</v>
      </c>
      <c r="E126" t="s">
        <v>1598</v>
      </c>
      <c r="F126" t="s">
        <v>1593</v>
      </c>
      <c r="G126" t="s">
        <v>1594</v>
      </c>
      <c r="H126" t="s">
        <v>1595</v>
      </c>
      <c r="I126">
        <v>0</v>
      </c>
      <c r="J126" t="s">
        <v>1597</v>
      </c>
      <c r="K126" t="s">
        <v>1599</v>
      </c>
      <c r="L126" t="s">
        <v>1600</v>
      </c>
      <c r="M126" t="s">
        <v>1502</v>
      </c>
      <c r="N126" t="s">
        <v>1601</v>
      </c>
    </row>
    <row r="127" spans="1:14" x14ac:dyDescent="0.3">
      <c r="A127">
        <v>2025</v>
      </c>
      <c r="B127" t="s">
        <v>1503</v>
      </c>
      <c r="C127" t="s">
        <v>1501</v>
      </c>
      <c r="D127" t="s">
        <v>1747</v>
      </c>
      <c r="E127" t="s">
        <v>1749</v>
      </c>
      <c r="F127" t="s">
        <v>1744</v>
      </c>
      <c r="G127" t="s">
        <v>1745</v>
      </c>
      <c r="H127" t="s">
        <v>1746</v>
      </c>
      <c r="I127">
        <v>0</v>
      </c>
      <c r="J127" t="s">
        <v>1748</v>
      </c>
      <c r="K127" t="s">
        <v>1750</v>
      </c>
      <c r="L127" t="s">
        <v>1751</v>
      </c>
      <c r="M127" t="s">
        <v>1502</v>
      </c>
      <c r="N127" t="s">
        <v>1752</v>
      </c>
    </row>
    <row r="128" spans="1:14" x14ac:dyDescent="0.3">
      <c r="A128">
        <v>2025</v>
      </c>
      <c r="B128" t="s">
        <v>1503</v>
      </c>
      <c r="C128" t="s">
        <v>1501</v>
      </c>
      <c r="D128" t="s">
        <v>1782</v>
      </c>
      <c r="E128" t="s">
        <v>1784</v>
      </c>
      <c r="F128" t="s">
        <v>1779</v>
      </c>
      <c r="G128" t="s">
        <v>1780</v>
      </c>
      <c r="H128" t="s">
        <v>1781</v>
      </c>
      <c r="I128">
        <v>0</v>
      </c>
      <c r="J128" t="s">
        <v>1783</v>
      </c>
      <c r="K128" t="s">
        <v>1785</v>
      </c>
      <c r="L128" t="s">
        <v>1786</v>
      </c>
      <c r="M128" t="s">
        <v>1502</v>
      </c>
      <c r="N128" t="s">
        <v>1787</v>
      </c>
    </row>
    <row r="129" spans="1:14" x14ac:dyDescent="0.3">
      <c r="A129">
        <v>2025</v>
      </c>
      <c r="B129" t="s">
        <v>1503</v>
      </c>
      <c r="C129" t="s">
        <v>1501</v>
      </c>
      <c r="D129" t="s">
        <v>1814</v>
      </c>
      <c r="E129" t="s">
        <v>1816</v>
      </c>
      <c r="F129" t="s">
        <v>1811</v>
      </c>
      <c r="G129" t="s">
        <v>1812</v>
      </c>
      <c r="H129" t="s">
        <v>1813</v>
      </c>
      <c r="I129">
        <v>10</v>
      </c>
      <c r="J129" t="s">
        <v>1815</v>
      </c>
      <c r="K129" t="s">
        <v>1817</v>
      </c>
      <c r="L129" t="s">
        <v>1818</v>
      </c>
      <c r="M129" t="s">
        <v>1502</v>
      </c>
      <c r="N129" t="s">
        <v>1819</v>
      </c>
    </row>
    <row r="130" spans="1:14" x14ac:dyDescent="0.3">
      <c r="A130">
        <v>2025</v>
      </c>
      <c r="B130" t="s">
        <v>1503</v>
      </c>
      <c r="C130" t="s">
        <v>1504</v>
      </c>
      <c r="D130" t="s">
        <v>1683</v>
      </c>
      <c r="E130" t="s">
        <v>1685</v>
      </c>
      <c r="F130" t="s">
        <v>1680</v>
      </c>
      <c r="G130" t="s">
        <v>1681</v>
      </c>
      <c r="H130" t="s">
        <v>1682</v>
      </c>
      <c r="I130">
        <v>0</v>
      </c>
      <c r="J130" t="s">
        <v>1684</v>
      </c>
      <c r="K130" t="s">
        <v>1686</v>
      </c>
      <c r="L130" t="s">
        <v>1687</v>
      </c>
      <c r="M130" t="s">
        <v>1502</v>
      </c>
      <c r="N130" t="s">
        <v>1688</v>
      </c>
    </row>
    <row r="131" spans="1:14" x14ac:dyDescent="0.3">
      <c r="A131">
        <v>2025</v>
      </c>
      <c r="B131" t="s">
        <v>1503</v>
      </c>
      <c r="C131" t="s">
        <v>1667</v>
      </c>
      <c r="D131" t="s">
        <v>1666</v>
      </c>
      <c r="E131" t="s">
        <v>1669</v>
      </c>
      <c r="F131" t="s">
        <v>1663</v>
      </c>
      <c r="G131" t="s">
        <v>1664</v>
      </c>
      <c r="H131" t="s">
        <v>1665</v>
      </c>
      <c r="I131">
        <v>1</v>
      </c>
      <c r="J131" t="s">
        <v>1668</v>
      </c>
      <c r="K131" t="s">
        <v>1670</v>
      </c>
      <c r="L131" t="s">
        <v>1671</v>
      </c>
      <c r="M131" t="s">
        <v>1502</v>
      </c>
      <c r="N131" t="s">
        <v>1672</v>
      </c>
    </row>
    <row r="132" spans="1:14" x14ac:dyDescent="0.3">
      <c r="A132">
        <v>2025</v>
      </c>
      <c r="B132" t="s">
        <v>1503</v>
      </c>
      <c r="C132" t="s">
        <v>715</v>
      </c>
      <c r="D132" t="s">
        <v>1444</v>
      </c>
      <c r="E132" t="s">
        <v>1520</v>
      </c>
      <c r="F132" t="s">
        <v>1517</v>
      </c>
      <c r="G132" t="s">
        <v>1518</v>
      </c>
      <c r="H132" t="s">
        <v>1519</v>
      </c>
      <c r="I132">
        <v>0</v>
      </c>
      <c r="J132" t="s">
        <v>1445</v>
      </c>
      <c r="K132" t="s">
        <v>1521</v>
      </c>
      <c r="L132" t="s">
        <v>1522</v>
      </c>
      <c r="M132" t="s">
        <v>1502</v>
      </c>
      <c r="N132" t="s">
        <v>1523</v>
      </c>
    </row>
    <row r="133" spans="1:14" x14ac:dyDescent="0.3">
      <c r="A133">
        <v>2025</v>
      </c>
      <c r="B133" t="s">
        <v>1503</v>
      </c>
      <c r="C133" t="s">
        <v>715</v>
      </c>
      <c r="D133" t="s">
        <v>1357</v>
      </c>
      <c r="E133" t="s">
        <v>1546</v>
      </c>
      <c r="F133" t="s">
        <v>1543</v>
      </c>
      <c r="G133" t="s">
        <v>1544</v>
      </c>
      <c r="H133" t="s">
        <v>1545</v>
      </c>
      <c r="I133">
        <v>0</v>
      </c>
      <c r="J133" t="s">
        <v>1358</v>
      </c>
      <c r="K133" t="s">
        <v>1547</v>
      </c>
      <c r="L133" t="s">
        <v>1548</v>
      </c>
      <c r="M133" t="s">
        <v>1502</v>
      </c>
      <c r="N133" t="s">
        <v>1549</v>
      </c>
    </row>
    <row r="134" spans="1:14" x14ac:dyDescent="0.3">
      <c r="A134">
        <v>2025</v>
      </c>
      <c r="B134" t="s">
        <v>1503</v>
      </c>
      <c r="C134" t="s">
        <v>715</v>
      </c>
      <c r="D134" t="s">
        <v>1371</v>
      </c>
      <c r="E134" t="s">
        <v>1791</v>
      </c>
      <c r="F134" t="s">
        <v>1788</v>
      </c>
      <c r="G134" t="s">
        <v>1789</v>
      </c>
      <c r="H134" t="s">
        <v>1790</v>
      </c>
      <c r="I134">
        <v>0</v>
      </c>
      <c r="J134" t="s">
        <v>1372</v>
      </c>
      <c r="K134" t="s">
        <v>1792</v>
      </c>
      <c r="L134" t="s">
        <v>1793</v>
      </c>
      <c r="M134" t="s">
        <v>1502</v>
      </c>
      <c r="N134" t="s">
        <v>1794</v>
      </c>
    </row>
    <row r="135" spans="1:14" x14ac:dyDescent="0.3">
      <c r="A135">
        <v>2025</v>
      </c>
      <c r="B135" t="s">
        <v>1503</v>
      </c>
      <c r="C135" t="s">
        <v>967</v>
      </c>
      <c r="D135" t="s">
        <v>1366</v>
      </c>
      <c r="E135" t="s">
        <v>1553</v>
      </c>
      <c r="F135" t="s">
        <v>1550</v>
      </c>
      <c r="G135" t="s">
        <v>1551</v>
      </c>
      <c r="H135" t="s">
        <v>1552</v>
      </c>
      <c r="I135">
        <v>0</v>
      </c>
      <c r="J135" t="s">
        <v>1367</v>
      </c>
      <c r="K135" t="s">
        <v>1554</v>
      </c>
      <c r="L135" t="s">
        <v>1555</v>
      </c>
      <c r="M135" t="s">
        <v>1502</v>
      </c>
      <c r="N135" t="s">
        <v>1556</v>
      </c>
    </row>
    <row r="136" spans="1:14" x14ac:dyDescent="0.3">
      <c r="A136">
        <v>2025</v>
      </c>
      <c r="B136" t="s">
        <v>1503</v>
      </c>
      <c r="C136" t="s">
        <v>928</v>
      </c>
      <c r="D136" t="s">
        <v>1450</v>
      </c>
      <c r="E136" t="s">
        <v>1537</v>
      </c>
      <c r="F136" t="s">
        <v>1534</v>
      </c>
      <c r="G136" t="s">
        <v>1535</v>
      </c>
      <c r="H136" t="s">
        <v>1536</v>
      </c>
      <c r="I136">
        <v>3</v>
      </c>
      <c r="J136" t="s">
        <v>1451</v>
      </c>
      <c r="K136" t="s">
        <v>1538</v>
      </c>
      <c r="L136" t="s">
        <v>1539</v>
      </c>
      <c r="M136" t="s">
        <v>1502</v>
      </c>
      <c r="N136" t="s">
        <v>1540</v>
      </c>
    </row>
    <row r="137" spans="1:14" x14ac:dyDescent="0.3">
      <c r="A137">
        <v>2025</v>
      </c>
      <c r="B137" t="s">
        <v>1503</v>
      </c>
      <c r="C137" t="s">
        <v>1710</v>
      </c>
      <c r="D137" t="s">
        <v>1709</v>
      </c>
      <c r="E137" t="s">
        <v>1712</v>
      </c>
      <c r="F137" t="s">
        <v>1706</v>
      </c>
      <c r="G137" t="s">
        <v>1707</v>
      </c>
      <c r="H137" t="s">
        <v>1708</v>
      </c>
      <c r="I137">
        <v>0</v>
      </c>
      <c r="J137" t="s">
        <v>1711</v>
      </c>
      <c r="K137" t="s">
        <v>1713</v>
      </c>
      <c r="L137" t="s">
        <v>1714</v>
      </c>
      <c r="M137" t="s">
        <v>1502</v>
      </c>
      <c r="N137" t="s">
        <v>1715</v>
      </c>
    </row>
    <row r="138" spans="1:14" x14ac:dyDescent="0.3">
      <c r="A138">
        <v>2025</v>
      </c>
      <c r="B138" t="s">
        <v>1503</v>
      </c>
      <c r="C138" t="s">
        <v>1693</v>
      </c>
      <c r="D138" t="s">
        <v>1692</v>
      </c>
      <c r="E138" t="s">
        <v>1695</v>
      </c>
      <c r="F138" t="s">
        <v>1689</v>
      </c>
      <c r="G138" t="s">
        <v>1690</v>
      </c>
      <c r="H138" t="s">
        <v>1691</v>
      </c>
      <c r="I138">
        <v>0</v>
      </c>
      <c r="J138" t="s">
        <v>1694</v>
      </c>
      <c r="K138" t="s">
        <v>1696</v>
      </c>
      <c r="M138" t="s">
        <v>1502</v>
      </c>
      <c r="N138" t="s">
        <v>1697</v>
      </c>
    </row>
    <row r="139" spans="1:14" x14ac:dyDescent="0.3">
      <c r="A139">
        <v>2025</v>
      </c>
      <c r="B139" t="s">
        <v>1503</v>
      </c>
      <c r="C139" t="s">
        <v>1693</v>
      </c>
      <c r="D139" t="s">
        <v>1730</v>
      </c>
      <c r="E139" t="s">
        <v>1732</v>
      </c>
      <c r="F139" t="s">
        <v>1727</v>
      </c>
      <c r="G139" t="s">
        <v>1728</v>
      </c>
      <c r="H139" t="s">
        <v>1729</v>
      </c>
      <c r="I139">
        <v>0</v>
      </c>
      <c r="J139" t="s">
        <v>1731</v>
      </c>
      <c r="K139" t="s">
        <v>1733</v>
      </c>
      <c r="M139" t="s">
        <v>1502</v>
      </c>
      <c r="N139" t="s">
        <v>1734</v>
      </c>
    </row>
    <row r="140" spans="1:14" x14ac:dyDescent="0.3">
      <c r="A140">
        <v>2025</v>
      </c>
      <c r="B140" t="s">
        <v>1503</v>
      </c>
      <c r="C140" t="s">
        <v>1542</v>
      </c>
      <c r="D140" t="s">
        <v>1738</v>
      </c>
      <c r="E140" t="s">
        <v>1740</v>
      </c>
      <c r="F140" t="s">
        <v>1735</v>
      </c>
      <c r="G140" t="s">
        <v>1736</v>
      </c>
      <c r="H140" t="s">
        <v>1737</v>
      </c>
      <c r="I140">
        <v>0</v>
      </c>
      <c r="J140" t="s">
        <v>1739</v>
      </c>
      <c r="K140" t="s">
        <v>1741</v>
      </c>
      <c r="M140" t="s">
        <v>1502</v>
      </c>
      <c r="N140" t="s">
        <v>1742</v>
      </c>
    </row>
    <row r="141" spans="1:14" x14ac:dyDescent="0.3">
      <c r="A141">
        <v>2025</v>
      </c>
      <c r="B141" t="s">
        <v>1503</v>
      </c>
      <c r="C141" t="s">
        <v>764</v>
      </c>
      <c r="D141" t="s">
        <v>1399</v>
      </c>
      <c r="E141" t="s">
        <v>1702</v>
      </c>
      <c r="F141" t="s">
        <v>1699</v>
      </c>
      <c r="G141" t="s">
        <v>1700</v>
      </c>
      <c r="H141" t="s">
        <v>1701</v>
      </c>
      <c r="I141">
        <v>2</v>
      </c>
      <c r="J141" t="s">
        <v>1400</v>
      </c>
      <c r="K141" t="s">
        <v>1703</v>
      </c>
      <c r="L141" t="s">
        <v>1704</v>
      </c>
      <c r="M141" t="s">
        <v>1502</v>
      </c>
      <c r="N141" t="s">
        <v>1705</v>
      </c>
    </row>
    <row r="142" spans="1:14" x14ac:dyDescent="0.3">
      <c r="A142">
        <v>2025</v>
      </c>
      <c r="B142" t="s">
        <v>1503</v>
      </c>
      <c r="C142" t="s">
        <v>1524</v>
      </c>
      <c r="D142" t="s">
        <v>1823</v>
      </c>
      <c r="E142" t="s">
        <v>1825</v>
      </c>
      <c r="F142" t="s">
        <v>1820</v>
      </c>
      <c r="G142" t="s">
        <v>1821</v>
      </c>
      <c r="H142" t="s">
        <v>1822</v>
      </c>
      <c r="I142">
        <v>4</v>
      </c>
      <c r="J142" t="s">
        <v>1824</v>
      </c>
      <c r="K142" t="s">
        <v>1826</v>
      </c>
      <c r="L142" t="s">
        <v>1827</v>
      </c>
      <c r="M142" t="s">
        <v>1502</v>
      </c>
      <c r="N142" t="s">
        <v>1828</v>
      </c>
    </row>
    <row r="143" spans="1:14" x14ac:dyDescent="0.3">
      <c r="A143">
        <v>2025</v>
      </c>
      <c r="B143" t="s">
        <v>1503</v>
      </c>
      <c r="C143" t="s">
        <v>730</v>
      </c>
      <c r="D143" t="s">
        <v>1361</v>
      </c>
      <c r="E143" t="s">
        <v>1676</v>
      </c>
      <c r="F143" t="s">
        <v>1673</v>
      </c>
      <c r="G143" t="s">
        <v>1674</v>
      </c>
      <c r="H143" t="s">
        <v>1675</v>
      </c>
      <c r="I143">
        <v>1</v>
      </c>
      <c r="J143" t="s">
        <v>1362</v>
      </c>
      <c r="K143" t="s">
        <v>1677</v>
      </c>
      <c r="L143" t="s">
        <v>1678</v>
      </c>
      <c r="M143" t="s">
        <v>1502</v>
      </c>
      <c r="N143" t="s">
        <v>1679</v>
      </c>
    </row>
    <row r="144" spans="1:14" x14ac:dyDescent="0.3">
      <c r="A144">
        <v>2025</v>
      </c>
      <c r="B144" t="s">
        <v>1503</v>
      </c>
      <c r="C144" t="s">
        <v>994</v>
      </c>
      <c r="D144" t="s">
        <v>1433</v>
      </c>
      <c r="E144" t="s">
        <v>1659</v>
      </c>
      <c r="F144" t="s">
        <v>1656</v>
      </c>
      <c r="G144" t="s">
        <v>1657</v>
      </c>
      <c r="H144" t="s">
        <v>1658</v>
      </c>
      <c r="I144">
        <v>1</v>
      </c>
      <c r="J144" t="s">
        <v>1434</v>
      </c>
      <c r="K144" t="s">
        <v>1660</v>
      </c>
      <c r="L144" t="s">
        <v>1661</v>
      </c>
      <c r="M144" t="s">
        <v>1502</v>
      </c>
      <c r="N144" t="s">
        <v>1662</v>
      </c>
    </row>
    <row r="145" spans="1:14" x14ac:dyDescent="0.3">
      <c r="A145">
        <v>2025</v>
      </c>
      <c r="B145" t="s">
        <v>1503</v>
      </c>
      <c r="C145" t="s">
        <v>1578</v>
      </c>
      <c r="D145" t="s">
        <v>288</v>
      </c>
      <c r="E145" t="s">
        <v>1579</v>
      </c>
      <c r="F145" t="s">
        <v>1575</v>
      </c>
      <c r="G145" t="s">
        <v>1576</v>
      </c>
      <c r="H145" t="s">
        <v>1577</v>
      </c>
      <c r="I145">
        <v>0</v>
      </c>
      <c r="J145" t="s">
        <v>289</v>
      </c>
      <c r="K145" t="s">
        <v>1580</v>
      </c>
      <c r="L145" t="s">
        <v>1581</v>
      </c>
      <c r="M145" t="s">
        <v>1502</v>
      </c>
      <c r="N145" t="s">
        <v>1582</v>
      </c>
    </row>
    <row r="146" spans="1:14" x14ac:dyDescent="0.3">
      <c r="A146">
        <v>2025</v>
      </c>
      <c r="B146" t="s">
        <v>1503</v>
      </c>
      <c r="C146" t="s">
        <v>1578</v>
      </c>
      <c r="D146" t="s">
        <v>298</v>
      </c>
      <c r="E146" t="s">
        <v>1798</v>
      </c>
      <c r="F146" t="s">
        <v>1795</v>
      </c>
      <c r="G146" t="s">
        <v>1796</v>
      </c>
      <c r="H146" t="s">
        <v>1797</v>
      </c>
      <c r="I146">
        <v>0</v>
      </c>
      <c r="J146" t="s">
        <v>299</v>
      </c>
      <c r="K146" t="s">
        <v>1799</v>
      </c>
      <c r="L146" t="s">
        <v>1800</v>
      </c>
      <c r="M146" t="s">
        <v>1502</v>
      </c>
      <c r="N146" t="s">
        <v>1801</v>
      </c>
    </row>
    <row r="147" spans="1:14" x14ac:dyDescent="0.3">
      <c r="A147">
        <v>2025</v>
      </c>
      <c r="B147" t="s">
        <v>1503</v>
      </c>
      <c r="C147" t="s">
        <v>1585</v>
      </c>
      <c r="D147" t="s">
        <v>316</v>
      </c>
      <c r="E147" t="s">
        <v>1643</v>
      </c>
      <c r="F147" t="s">
        <v>1640</v>
      </c>
      <c r="G147" t="s">
        <v>1641</v>
      </c>
      <c r="H147" t="s">
        <v>1642</v>
      </c>
      <c r="I147">
        <v>0</v>
      </c>
      <c r="J147" t="s">
        <v>317</v>
      </c>
      <c r="K147" t="s">
        <v>1644</v>
      </c>
      <c r="L147" t="s">
        <v>1645</v>
      </c>
      <c r="M147" t="s">
        <v>1502</v>
      </c>
      <c r="N147" t="s">
        <v>1646</v>
      </c>
    </row>
    <row r="148" spans="1:14" x14ac:dyDescent="0.3">
      <c r="A148">
        <v>2025</v>
      </c>
      <c r="B148" t="s">
        <v>1503</v>
      </c>
      <c r="C148" t="s">
        <v>1465</v>
      </c>
      <c r="D148" t="s">
        <v>1466</v>
      </c>
      <c r="E148" t="s">
        <v>1775</v>
      </c>
      <c r="F148" t="s">
        <v>1772</v>
      </c>
      <c r="G148" t="s">
        <v>1773</v>
      </c>
      <c r="H148" t="s">
        <v>1774</v>
      </c>
      <c r="I148">
        <v>1</v>
      </c>
      <c r="J148" t="s">
        <v>1468</v>
      </c>
      <c r="K148" t="s">
        <v>1776</v>
      </c>
      <c r="L148" t="s">
        <v>1777</v>
      </c>
      <c r="M148" t="s">
        <v>1502</v>
      </c>
      <c r="N148" t="s">
        <v>1778</v>
      </c>
    </row>
    <row r="149" spans="1:14" x14ac:dyDescent="0.3">
      <c r="A149">
        <v>2025</v>
      </c>
      <c r="B149" t="s">
        <v>1503</v>
      </c>
      <c r="C149" t="s">
        <v>1606</v>
      </c>
      <c r="D149" t="s">
        <v>1605</v>
      </c>
      <c r="E149" t="s">
        <v>1608</v>
      </c>
      <c r="F149" t="s">
        <v>1602</v>
      </c>
      <c r="G149" t="s">
        <v>1603</v>
      </c>
      <c r="H149" t="s">
        <v>1604</v>
      </c>
      <c r="I149">
        <v>0</v>
      </c>
      <c r="J149" t="s">
        <v>1607</v>
      </c>
      <c r="K149" t="s">
        <v>1609</v>
      </c>
      <c r="L149" t="s">
        <v>1610</v>
      </c>
      <c r="M149" t="s">
        <v>1502</v>
      </c>
      <c r="N149" t="s">
        <v>1611</v>
      </c>
    </row>
    <row r="150" spans="1:14" x14ac:dyDescent="0.3">
      <c r="A150">
        <v>2025</v>
      </c>
      <c r="B150" t="s">
        <v>1503</v>
      </c>
      <c r="C150" t="s">
        <v>1635</v>
      </c>
      <c r="D150" t="s">
        <v>1634</v>
      </c>
      <c r="E150" t="s">
        <v>1637</v>
      </c>
      <c r="F150" t="s">
        <v>1631</v>
      </c>
      <c r="G150" t="s">
        <v>1632</v>
      </c>
      <c r="H150" t="s">
        <v>1633</v>
      </c>
      <c r="I150">
        <v>0</v>
      </c>
      <c r="J150" t="s">
        <v>1636</v>
      </c>
      <c r="K150" t="s">
        <v>1638</v>
      </c>
      <c r="M150" t="s">
        <v>1502</v>
      </c>
      <c r="N150" t="s">
        <v>1639</v>
      </c>
    </row>
    <row r="151" spans="1:14" x14ac:dyDescent="0.3">
      <c r="A151">
        <v>2025</v>
      </c>
      <c r="B151" t="s">
        <v>1503</v>
      </c>
      <c r="C151" t="s">
        <v>1635</v>
      </c>
      <c r="D151" t="s">
        <v>1757</v>
      </c>
      <c r="E151" t="s">
        <v>1759</v>
      </c>
      <c r="F151" t="s">
        <v>1754</v>
      </c>
      <c r="G151" t="s">
        <v>1755</v>
      </c>
      <c r="H151" t="s">
        <v>1756</v>
      </c>
      <c r="I151">
        <v>0</v>
      </c>
      <c r="J151" t="s">
        <v>1758</v>
      </c>
      <c r="K151" t="s">
        <v>1760</v>
      </c>
      <c r="M151" t="s">
        <v>1502</v>
      </c>
      <c r="N151" t="s">
        <v>1761</v>
      </c>
    </row>
    <row r="152" spans="1:14" x14ac:dyDescent="0.3">
      <c r="A152">
        <v>2026</v>
      </c>
      <c r="B152" t="s">
        <v>1503</v>
      </c>
      <c r="C152" t="s">
        <v>715</v>
      </c>
      <c r="D152" t="s">
        <v>1508</v>
      </c>
      <c r="E152" t="s">
        <v>1510</v>
      </c>
      <c r="F152" t="s">
        <v>1505</v>
      </c>
      <c r="G152" t="s">
        <v>1506</v>
      </c>
      <c r="H152" t="s">
        <v>1507</v>
      </c>
      <c r="I152">
        <v>0</v>
      </c>
      <c r="J152" t="s">
        <v>1509</v>
      </c>
      <c r="K152" t="s">
        <v>1511</v>
      </c>
      <c r="L152" t="s">
        <v>1512</v>
      </c>
      <c r="M152" t="s">
        <v>1502</v>
      </c>
      <c r="N152" t="s">
        <v>1513</v>
      </c>
    </row>
    <row r="153" spans="1:14" x14ac:dyDescent="0.3">
      <c r="A153">
        <v>2026</v>
      </c>
      <c r="B153" t="s">
        <v>1503</v>
      </c>
      <c r="C153" t="s">
        <v>715</v>
      </c>
      <c r="D153" t="s">
        <v>1528</v>
      </c>
      <c r="E153" t="s">
        <v>1530</v>
      </c>
      <c r="F153" t="s">
        <v>1525</v>
      </c>
      <c r="G153" t="s">
        <v>1526</v>
      </c>
      <c r="H153" t="s">
        <v>1527</v>
      </c>
      <c r="I153">
        <v>0</v>
      </c>
      <c r="J153" t="s">
        <v>1529</v>
      </c>
      <c r="K153" t="s">
        <v>1531</v>
      </c>
      <c r="L153" t="s">
        <v>1532</v>
      </c>
      <c r="M153" t="s">
        <v>1502</v>
      </c>
      <c r="N153" t="s">
        <v>1533</v>
      </c>
    </row>
    <row r="154" spans="1:14" x14ac:dyDescent="0.3">
      <c r="A154">
        <v>2026</v>
      </c>
      <c r="B154" t="s">
        <v>1503</v>
      </c>
      <c r="C154" t="s">
        <v>1465</v>
      </c>
      <c r="D154" t="s">
        <v>1560</v>
      </c>
      <c r="E154" t="s">
        <v>1562</v>
      </c>
      <c r="F154" t="s">
        <v>1557</v>
      </c>
      <c r="G154" t="s">
        <v>1558</v>
      </c>
      <c r="H154" t="s">
        <v>1559</v>
      </c>
      <c r="I154">
        <v>0</v>
      </c>
      <c r="J154" t="s">
        <v>1561</v>
      </c>
      <c r="K154" t="s">
        <v>1563</v>
      </c>
      <c r="L154" t="s">
        <v>1564</v>
      </c>
      <c r="M154" t="s">
        <v>1502</v>
      </c>
      <c r="N154" t="s">
        <v>1565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7AA00-FF7B-4859-A4D6-FE3D910F8ECD}">
  <dimension ref="A1:N55"/>
  <sheetViews>
    <sheetView workbookViewId="0">
      <selection activeCell="O10" sqref="O10"/>
    </sheetView>
  </sheetViews>
  <sheetFormatPr defaultRowHeight="14.4" x14ac:dyDescent="0.3"/>
  <cols>
    <col min="1" max="1" width="5.77734375" customWidth="1"/>
    <col min="2" max="2" width="14.33203125" bestFit="1" customWidth="1"/>
    <col min="3" max="3" width="35.77734375" customWidth="1"/>
    <col min="12" max="12" width="31.77734375" bestFit="1" customWidth="1"/>
  </cols>
  <sheetData>
    <row r="1" spans="1:14" x14ac:dyDescent="0.3">
      <c r="A1" s="1" t="s">
        <v>1</v>
      </c>
      <c r="B1" s="1" t="s">
        <v>0</v>
      </c>
      <c r="C1" s="1" t="s">
        <v>2748</v>
      </c>
      <c r="D1" s="1" t="s">
        <v>333</v>
      </c>
      <c r="E1" s="1" t="s">
        <v>2749</v>
      </c>
      <c r="G1" s="1" t="s">
        <v>2750</v>
      </c>
      <c r="H1" s="1" t="s">
        <v>335</v>
      </c>
      <c r="I1" s="1" t="s">
        <v>5</v>
      </c>
      <c r="J1" s="1" t="s">
        <v>2751</v>
      </c>
      <c r="K1" s="1" t="s">
        <v>6</v>
      </c>
      <c r="L1" s="1" t="s">
        <v>2752</v>
      </c>
      <c r="M1" s="1" t="s">
        <v>2968</v>
      </c>
      <c r="N1" s="1"/>
    </row>
    <row r="2" spans="1:14" x14ac:dyDescent="0.3">
      <c r="A2" s="1">
        <v>2023</v>
      </c>
      <c r="B2" s="1" t="s">
        <v>2753</v>
      </c>
      <c r="C2" s="1" t="s">
        <v>2814</v>
      </c>
      <c r="D2" s="1" t="s">
        <v>2815</v>
      </c>
      <c r="E2" s="1" t="s">
        <v>119</v>
      </c>
      <c r="G2" s="1" t="s">
        <v>120</v>
      </c>
      <c r="H2" s="1" t="s">
        <v>696</v>
      </c>
      <c r="I2" s="1" t="s">
        <v>2757</v>
      </c>
      <c r="J2" s="1" t="s">
        <v>2759</v>
      </c>
      <c r="K2" s="1" t="s">
        <v>2702</v>
      </c>
      <c r="L2" s="1" t="str">
        <f>HYPERLINK("https%3A%2F%2Fwww.webofscience.com%2Fwos%2Fwoscc%2Ffull-record%2FWOS:000524291600008","View Full Record in Web of Science")</f>
        <v>View Full Record in Web of Science</v>
      </c>
    </row>
    <row r="3" spans="1:14" x14ac:dyDescent="0.3">
      <c r="A3" s="1">
        <v>2023</v>
      </c>
      <c r="B3" s="1" t="s">
        <v>2753</v>
      </c>
      <c r="C3" s="1" t="s">
        <v>2855</v>
      </c>
      <c r="D3" s="1" t="s">
        <v>2856</v>
      </c>
      <c r="E3" s="1" t="s">
        <v>2857</v>
      </c>
      <c r="G3" s="1" t="s">
        <v>2858</v>
      </c>
      <c r="H3" s="1" t="s">
        <v>2764</v>
      </c>
      <c r="I3" s="1" t="s">
        <v>548</v>
      </c>
      <c r="J3" s="1" t="s">
        <v>2765</v>
      </c>
      <c r="K3" s="1" t="s">
        <v>2766</v>
      </c>
      <c r="L3" s="1" t="str">
        <f>HYPERLINK("https%3A%2F%2Fwww.webofscience.com%2Fwos%2Fwoscc%2Ffull-record%2FWOS:000597226700029","View Full Record in Web of Science")</f>
        <v>View Full Record in Web of Science</v>
      </c>
    </row>
    <row r="4" spans="1:14" x14ac:dyDescent="0.3">
      <c r="A4" s="1">
        <v>2020</v>
      </c>
      <c r="B4" s="1" t="s">
        <v>2753</v>
      </c>
      <c r="C4" s="1" t="s">
        <v>2754</v>
      </c>
      <c r="D4" s="1" t="s">
        <v>2755</v>
      </c>
      <c r="E4" s="1" t="s">
        <v>2756</v>
      </c>
      <c r="G4" s="1" t="s">
        <v>694</v>
      </c>
      <c r="H4" s="1" t="s">
        <v>380</v>
      </c>
      <c r="I4" s="1" t="s">
        <v>2770</v>
      </c>
      <c r="J4" s="1" t="s">
        <v>2771</v>
      </c>
      <c r="K4" s="1" t="s">
        <v>382</v>
      </c>
      <c r="L4" s="1" t="str">
        <f>HYPERLINK("https%3A%2F%2Fwww.webofscience.com%2Fwos%2Fwoscc%2Ffull-record%2FWOS:000577863700004","View Full Record in Web of Science")</f>
        <v>View Full Record in Web of Science</v>
      </c>
    </row>
    <row r="5" spans="1:14" x14ac:dyDescent="0.3">
      <c r="A5" s="1">
        <v>2024</v>
      </c>
      <c r="B5" s="1" t="s">
        <v>2753</v>
      </c>
      <c r="C5" s="1" t="s">
        <v>2754</v>
      </c>
      <c r="D5" s="1" t="s">
        <v>2873</v>
      </c>
      <c r="E5" s="1" t="s">
        <v>702</v>
      </c>
      <c r="G5" s="1" t="s">
        <v>706</v>
      </c>
      <c r="H5" s="1" t="s">
        <v>2775</v>
      </c>
      <c r="I5" s="1" t="s">
        <v>2776</v>
      </c>
      <c r="J5" s="1" t="s">
        <v>2777</v>
      </c>
      <c r="K5" s="1" t="s">
        <v>2681</v>
      </c>
      <c r="L5" s="1" t="str">
        <f>HYPERLINK("https%3A%2F%2Fwww.webofscience.com%2Fwos%2Fwoscc%2Ffull-record%2FWOS:000590982000002","View Full Record in Web of Science")</f>
        <v>View Full Record in Web of Science</v>
      </c>
    </row>
    <row r="6" spans="1:14" x14ac:dyDescent="0.3">
      <c r="A6" s="1">
        <v>2024</v>
      </c>
      <c r="B6" s="1" t="s">
        <v>2753</v>
      </c>
      <c r="C6" s="1" t="s">
        <v>2886</v>
      </c>
      <c r="D6" s="1" t="s">
        <v>2887</v>
      </c>
      <c r="E6" s="1" t="s">
        <v>1178</v>
      </c>
      <c r="G6" s="1" t="s">
        <v>1179</v>
      </c>
      <c r="H6" s="1" t="s">
        <v>527</v>
      </c>
      <c r="I6" s="1" t="s">
        <v>459</v>
      </c>
      <c r="J6" s="1" t="s">
        <v>2781</v>
      </c>
      <c r="K6" s="1" t="s">
        <v>528</v>
      </c>
      <c r="L6" s="1" t="str">
        <f>HYPERLINK("https%3A%2F%2Fwww.webofscience.com%2Fwos%2Fwoscc%2Ffull-record%2FWOS:000648206800014","View Full Record in Web of Science")</f>
        <v>View Full Record in Web of Science</v>
      </c>
    </row>
    <row r="7" spans="1:14" x14ac:dyDescent="0.3">
      <c r="A7" s="1">
        <v>2023</v>
      </c>
      <c r="B7" s="1" t="s">
        <v>2753</v>
      </c>
      <c r="C7" s="1" t="s">
        <v>2825</v>
      </c>
      <c r="D7" s="1" t="s">
        <v>2826</v>
      </c>
      <c r="E7" s="1" t="s">
        <v>2827</v>
      </c>
      <c r="G7" s="1" t="s">
        <v>2272</v>
      </c>
      <c r="H7" s="1" t="s">
        <v>2784</v>
      </c>
      <c r="I7" s="1" t="s">
        <v>718</v>
      </c>
      <c r="J7" s="1" t="s">
        <v>2785</v>
      </c>
      <c r="K7" s="1" t="s">
        <v>824</v>
      </c>
      <c r="L7" s="1" t="str">
        <f>HYPERLINK("https%3A%2F%2Fwww.webofscience.com%2Fwos%2Fwoscc%2Ffull-record%2FWOS:000579186700032","View Full Record in Web of Science")</f>
        <v>View Full Record in Web of Science</v>
      </c>
    </row>
    <row r="8" spans="1:14" x14ac:dyDescent="0.3">
      <c r="A8" s="1">
        <v>2021</v>
      </c>
      <c r="B8" s="1" t="s">
        <v>2753</v>
      </c>
      <c r="C8" s="1" t="s">
        <v>2782</v>
      </c>
      <c r="D8" s="1" t="s">
        <v>2783</v>
      </c>
      <c r="E8" s="1" t="s">
        <v>822</v>
      </c>
      <c r="G8" s="1" t="s">
        <v>823</v>
      </c>
      <c r="H8" s="1" t="s">
        <v>364</v>
      </c>
      <c r="I8" s="1" t="s">
        <v>357</v>
      </c>
      <c r="J8" s="1" t="s">
        <v>2789</v>
      </c>
      <c r="K8" s="1" t="s">
        <v>365</v>
      </c>
      <c r="L8" s="1" t="str">
        <f>HYPERLINK("https%3A%2F%2Fwww.webofscience.com%2Fwos%2Fwoscc%2Ffull-record%2FWOS:000894810300043","View Full Record in Web of Science")</f>
        <v>View Full Record in Web of Science</v>
      </c>
    </row>
    <row r="9" spans="1:14" x14ac:dyDescent="0.3">
      <c r="A9" s="1">
        <v>2023</v>
      </c>
      <c r="B9" s="1" t="s">
        <v>2753</v>
      </c>
      <c r="C9" s="1" t="s">
        <v>2782</v>
      </c>
      <c r="D9" s="1" t="s">
        <v>2811</v>
      </c>
      <c r="E9" s="1" t="s">
        <v>954</v>
      </c>
      <c r="G9" s="1" t="s">
        <v>955</v>
      </c>
      <c r="H9" s="1" t="s">
        <v>2794</v>
      </c>
      <c r="I9" s="1" t="s">
        <v>2795</v>
      </c>
      <c r="J9" s="1" t="s">
        <v>2758</v>
      </c>
      <c r="K9" s="1" t="s">
        <v>2796</v>
      </c>
      <c r="L9" s="1" t="str">
        <f>HYPERLINK("https%3A%2F%2Fwww.webofscience.com%2Fwos%2Fwoscc%2Ffull-record%2FWOS:000848292900011","View Full Record in Web of Science")</f>
        <v>View Full Record in Web of Science</v>
      </c>
    </row>
    <row r="10" spans="1:14" x14ac:dyDescent="0.3">
      <c r="A10" s="1">
        <v>2023</v>
      </c>
      <c r="B10" s="1" t="s">
        <v>2753</v>
      </c>
      <c r="C10" s="1" t="s">
        <v>2782</v>
      </c>
      <c r="D10" s="1" t="s">
        <v>2852</v>
      </c>
      <c r="E10" s="1" t="s">
        <v>2853</v>
      </c>
      <c r="G10" s="1" t="s">
        <v>941</v>
      </c>
      <c r="H10" s="1" t="s">
        <v>589</v>
      </c>
      <c r="I10" s="1" t="s">
        <v>2770</v>
      </c>
      <c r="J10" s="1" t="s">
        <v>2799</v>
      </c>
      <c r="K10" s="1" t="s">
        <v>590</v>
      </c>
      <c r="L10" s="1" t="str">
        <f>HYPERLINK("https%3A%2F%2Fwww.webofscience.com%2Fwos%2Fwoscc%2Ffull-record%2FWOS:000831139000006","View Full Record in Web of Science")</f>
        <v>View Full Record in Web of Science</v>
      </c>
    </row>
    <row r="11" spans="1:14" x14ac:dyDescent="0.3">
      <c r="A11" s="1">
        <v>2024</v>
      </c>
      <c r="B11" s="1" t="s">
        <v>2753</v>
      </c>
      <c r="C11" s="1" t="s">
        <v>2782</v>
      </c>
      <c r="D11" s="1" t="s">
        <v>2871</v>
      </c>
      <c r="E11" s="1" t="s">
        <v>1108</v>
      </c>
      <c r="G11" s="1" t="s">
        <v>1109</v>
      </c>
      <c r="H11" s="1" t="s">
        <v>64</v>
      </c>
      <c r="I11" s="1" t="s">
        <v>37</v>
      </c>
      <c r="J11" s="1" t="s">
        <v>2765</v>
      </c>
      <c r="K11" s="1" t="s">
        <v>62</v>
      </c>
      <c r="L11" s="1" t="str">
        <f>HYPERLINK("https%3A%2F%2Fwww.webofscience.com%2Fwos%2Fwoscc%2Ffull-record%2FWOS:000821546600001","View Full Record in Web of Science")</f>
        <v>View Full Record in Web of Science</v>
      </c>
    </row>
    <row r="12" spans="1:14" x14ac:dyDescent="0.3">
      <c r="A12" s="1">
        <v>2024</v>
      </c>
      <c r="B12" s="1" t="s">
        <v>2753</v>
      </c>
      <c r="C12" s="1" t="s">
        <v>2782</v>
      </c>
      <c r="D12" s="1" t="s">
        <v>2888</v>
      </c>
      <c r="E12" s="1" t="s">
        <v>1218</v>
      </c>
      <c r="G12" s="1" t="s">
        <v>1219</v>
      </c>
      <c r="H12" s="1" t="s">
        <v>2805</v>
      </c>
      <c r="I12" s="1" t="s">
        <v>2758</v>
      </c>
      <c r="J12" s="1" t="s">
        <v>2806</v>
      </c>
      <c r="K12" s="1" t="s">
        <v>88</v>
      </c>
      <c r="L12" s="1" t="str">
        <f>HYPERLINK("https%3A%2F%2Fwww.webofscience.com%2Fwos%2Fwoscc%2Ffull-record%2FWOS:000834027100003","View Full Record in Web of Science")</f>
        <v>View Full Record in Web of Science</v>
      </c>
    </row>
    <row r="13" spans="1:14" x14ac:dyDescent="0.3">
      <c r="A13" s="1">
        <v>2024</v>
      </c>
      <c r="B13" s="1" t="s">
        <v>2753</v>
      </c>
      <c r="C13" s="1" t="s">
        <v>2782</v>
      </c>
      <c r="D13" s="1" t="s">
        <v>2924</v>
      </c>
      <c r="E13" s="1" t="s">
        <v>2925</v>
      </c>
      <c r="G13" s="1" t="s">
        <v>1167</v>
      </c>
      <c r="H13" s="1" t="s">
        <v>2807</v>
      </c>
      <c r="I13" s="1" t="s">
        <v>357</v>
      </c>
      <c r="J13" s="1" t="s">
        <v>2808</v>
      </c>
      <c r="K13" s="1" t="s">
        <v>358</v>
      </c>
      <c r="L13" s="1" t="str">
        <f>HYPERLINK("https%3A%2F%2Fwww.webofscience.com%2Fwos%2Fwoscc%2Ffull-record%2FWOS:001004238600057","View Full Record in Web of Science")</f>
        <v>View Full Record in Web of Science</v>
      </c>
    </row>
    <row r="14" spans="1:14" x14ac:dyDescent="0.3">
      <c r="A14" s="1">
        <v>2024</v>
      </c>
      <c r="B14" s="1" t="s">
        <v>2753</v>
      </c>
      <c r="C14" s="1" t="s">
        <v>2902</v>
      </c>
      <c r="D14" s="1" t="s">
        <v>2903</v>
      </c>
      <c r="E14" s="1" t="s">
        <v>2904</v>
      </c>
      <c r="G14" s="1" t="s">
        <v>491</v>
      </c>
      <c r="H14" s="1" t="s">
        <v>506</v>
      </c>
      <c r="I14" s="1" t="s">
        <v>2770</v>
      </c>
      <c r="J14" s="1" t="s">
        <v>2765</v>
      </c>
      <c r="K14" s="1" t="s">
        <v>507</v>
      </c>
      <c r="L14" s="1" t="str">
        <f>HYPERLINK("https%3A%2F%2Fwww.webofscience.com%2Fwos%2Fwoscc%2Ffull-record%2FWOS:001096168400004","View Full Record in Web of Science")</f>
        <v>View Full Record in Web of Science</v>
      </c>
    </row>
    <row r="15" spans="1:14" x14ac:dyDescent="0.3">
      <c r="A15" s="1">
        <v>2024</v>
      </c>
      <c r="B15" s="1" t="s">
        <v>2753</v>
      </c>
      <c r="C15" s="1" t="s">
        <v>2902</v>
      </c>
      <c r="D15" s="1" t="s">
        <v>2906</v>
      </c>
      <c r="E15" s="1" t="s">
        <v>2907</v>
      </c>
      <c r="G15" s="1" t="s">
        <v>440</v>
      </c>
      <c r="H15" s="1" t="s">
        <v>2812</v>
      </c>
      <c r="I15" s="1" t="s">
        <v>718</v>
      </c>
      <c r="J15" s="1" t="s">
        <v>2813</v>
      </c>
      <c r="K15" s="1" t="s">
        <v>956</v>
      </c>
      <c r="L15" s="1" t="str">
        <f>HYPERLINK("https%3A%2F%2Fwww.webofscience.com%2Fwos%2Fwoscc%2Ffull-record%2FWOS:000868340000007","View Full Record in Web of Science")</f>
        <v>View Full Record in Web of Science</v>
      </c>
    </row>
    <row r="16" spans="1:14" x14ac:dyDescent="0.3">
      <c r="A16" s="1">
        <v>2025</v>
      </c>
      <c r="B16" s="1" t="s">
        <v>2753</v>
      </c>
      <c r="C16" s="1" t="s">
        <v>2902</v>
      </c>
      <c r="D16" s="1" t="s">
        <v>2961</v>
      </c>
      <c r="E16" s="1" t="s">
        <v>2962</v>
      </c>
      <c r="G16" s="1" t="s">
        <v>497</v>
      </c>
      <c r="H16" s="1" t="s">
        <v>2816</v>
      </c>
      <c r="I16" s="1" t="s">
        <v>49</v>
      </c>
      <c r="J16" s="1" t="s">
        <v>2817</v>
      </c>
      <c r="K16" s="1" t="s">
        <v>121</v>
      </c>
      <c r="L16" s="1" t="str">
        <f>HYPERLINK("https%3A%2F%2Fwww.webofscience.com%2Fwos%2Fwoscc%2Ffull-record%2FWOS:001054005300012","View Full Record in Web of Science")</f>
        <v>View Full Record in Web of Science</v>
      </c>
    </row>
    <row r="17" spans="1:12" x14ac:dyDescent="0.3">
      <c r="A17" s="1">
        <v>2024</v>
      </c>
      <c r="B17" s="1" t="s">
        <v>2753</v>
      </c>
      <c r="C17" s="1" t="s">
        <v>2875</v>
      </c>
      <c r="D17" s="1" t="s">
        <v>2876</v>
      </c>
      <c r="E17" s="1" t="s">
        <v>2877</v>
      </c>
      <c r="G17" s="1" t="s">
        <v>2878</v>
      </c>
      <c r="H17" s="1" t="s">
        <v>2822</v>
      </c>
      <c r="I17" s="1" t="s">
        <v>2823</v>
      </c>
      <c r="J17" s="1" t="s">
        <v>2765</v>
      </c>
      <c r="K17" s="1" t="s">
        <v>2824</v>
      </c>
      <c r="L17" s="1" t="str">
        <f>HYPERLINK("https%3A%2F%2Fwww.webofscience.com%2Fwos%2Fwoscc%2Ffull-record%2FWOS:001091903700001","View Full Record in Web of Science")</f>
        <v>View Full Record in Web of Science</v>
      </c>
    </row>
    <row r="18" spans="1:12" x14ac:dyDescent="0.3">
      <c r="A18" s="1">
        <v>2024</v>
      </c>
      <c r="B18" s="1" t="s">
        <v>2753</v>
      </c>
      <c r="C18" s="1" t="s">
        <v>2889</v>
      </c>
      <c r="D18" s="1" t="s">
        <v>2890</v>
      </c>
      <c r="E18" s="1" t="s">
        <v>2891</v>
      </c>
      <c r="G18" s="1" t="s">
        <v>2892</v>
      </c>
      <c r="H18" s="1" t="s">
        <v>2828</v>
      </c>
      <c r="I18" s="1" t="s">
        <v>2829</v>
      </c>
      <c r="J18" s="1" t="s">
        <v>2830</v>
      </c>
      <c r="K18" s="1" t="s">
        <v>2273</v>
      </c>
      <c r="L18" s="1" t="str">
        <f>HYPERLINK("https%3A%2F%2Fwww.webofscience.com%2Fwos%2Fwoscc%2Ffull-record%2FWOS:000972356300001","View Full Record in Web of Science")</f>
        <v>View Full Record in Web of Science</v>
      </c>
    </row>
    <row r="19" spans="1:12" x14ac:dyDescent="0.3">
      <c r="A19" s="1">
        <v>2021</v>
      </c>
      <c r="B19" s="1" t="s">
        <v>2753</v>
      </c>
      <c r="C19" s="1" t="s">
        <v>2778</v>
      </c>
      <c r="D19" s="1" t="s">
        <v>2779</v>
      </c>
      <c r="E19" s="1" t="s">
        <v>2780</v>
      </c>
      <c r="G19" s="1" t="s">
        <v>525</v>
      </c>
      <c r="H19" s="1" t="s">
        <v>2835</v>
      </c>
      <c r="I19" s="1" t="s">
        <v>2836</v>
      </c>
      <c r="J19" s="1" t="s">
        <v>2817</v>
      </c>
      <c r="K19" s="1" t="s">
        <v>2837</v>
      </c>
      <c r="L19" s="1" t="str">
        <f>HYPERLINK("https%3A%2F%2Fwww.webofscience.com%2Fwos%2Fwoscc%2Ffull-record%2FWOS:001020261500037","View Full Record in Web of Science")</f>
        <v>View Full Record in Web of Science</v>
      </c>
    </row>
    <row r="20" spans="1:12" x14ac:dyDescent="0.3">
      <c r="A20" s="1">
        <v>2023</v>
      </c>
      <c r="B20" s="1" t="s">
        <v>2753</v>
      </c>
      <c r="C20" s="1" t="s">
        <v>2778</v>
      </c>
      <c r="D20" s="1" t="s">
        <v>2838</v>
      </c>
      <c r="E20" s="1" t="s">
        <v>2839</v>
      </c>
      <c r="G20" s="1" t="s">
        <v>472</v>
      </c>
      <c r="H20" s="1" t="s">
        <v>474</v>
      </c>
      <c r="I20" s="1" t="s">
        <v>459</v>
      </c>
      <c r="J20" s="1" t="s">
        <v>2840</v>
      </c>
      <c r="K20" s="1" t="s">
        <v>475</v>
      </c>
      <c r="L20" s="1" t="str">
        <f>HYPERLINK("https%3A%2F%2Fwww.webofscience.com%2Fwos%2Fwoscc%2Ffull-record%2FWOS:000965450200001","View Full Record in Web of Science")</f>
        <v>View Full Record in Web of Science</v>
      </c>
    </row>
    <row r="21" spans="1:12" x14ac:dyDescent="0.3">
      <c r="A21" s="1">
        <v>2024</v>
      </c>
      <c r="B21" s="1" t="s">
        <v>2753</v>
      </c>
      <c r="C21" s="1" t="s">
        <v>2778</v>
      </c>
      <c r="D21" s="1" t="s">
        <v>2922</v>
      </c>
      <c r="E21" s="1" t="s">
        <v>2923</v>
      </c>
      <c r="G21" s="1" t="s">
        <v>660</v>
      </c>
      <c r="H21" s="1" t="s">
        <v>402</v>
      </c>
      <c r="I21" s="1" t="s">
        <v>2770</v>
      </c>
      <c r="J21" s="1" t="s">
        <v>2843</v>
      </c>
      <c r="K21" s="1" t="s">
        <v>403</v>
      </c>
      <c r="L21" s="1" t="str">
        <f>HYPERLINK("https%3A%2F%2Fwww.webofscience.com%2Fwos%2Fwoscc%2Ffull-record%2FWOS:000890079200013","View Full Record in Web of Science")</f>
        <v>View Full Record in Web of Science</v>
      </c>
    </row>
    <row r="22" spans="1:12" x14ac:dyDescent="0.3">
      <c r="A22" s="1">
        <v>2024</v>
      </c>
      <c r="B22" s="1" t="s">
        <v>2753</v>
      </c>
      <c r="C22" s="1" t="s">
        <v>2882</v>
      </c>
      <c r="D22" s="1" t="s">
        <v>2883</v>
      </c>
      <c r="E22" s="1" t="s">
        <v>2884</v>
      </c>
      <c r="G22" s="1" t="s">
        <v>406</v>
      </c>
      <c r="H22" s="1" t="s">
        <v>2848</v>
      </c>
      <c r="I22" s="1" t="s">
        <v>2849</v>
      </c>
      <c r="J22" s="1" t="s">
        <v>2850</v>
      </c>
      <c r="K22" s="1" t="s">
        <v>2851</v>
      </c>
      <c r="L22" s="1" t="str">
        <f>HYPERLINK("https%3A%2F%2Fwww.webofscience.com%2Fwos%2Fwoscc%2Ffull-record%2FWOS:001047175700022","View Full Record in Web of Science")</f>
        <v>View Full Record in Web of Science</v>
      </c>
    </row>
    <row r="23" spans="1:12" x14ac:dyDescent="0.3">
      <c r="A23" s="1">
        <v>2025</v>
      </c>
      <c r="B23" s="1" t="s">
        <v>2753</v>
      </c>
      <c r="C23" s="1" t="s">
        <v>2946</v>
      </c>
      <c r="D23" s="1" t="s">
        <v>2947</v>
      </c>
      <c r="E23" s="1" t="s">
        <v>2948</v>
      </c>
      <c r="G23" s="1" t="s">
        <v>424</v>
      </c>
      <c r="H23" s="1" t="s">
        <v>2854</v>
      </c>
      <c r="I23" s="1" t="s">
        <v>718</v>
      </c>
      <c r="J23" s="1" t="s">
        <v>2759</v>
      </c>
      <c r="K23" s="1" t="s">
        <v>942</v>
      </c>
      <c r="L23" s="1" t="str">
        <f>HYPERLINK("https%3A%2F%2Fwww.webofscience.com%2Fwos%2Fwoscc%2Ffull-record%2FWOS:000892504800007","View Full Record in Web of Science")</f>
        <v>View Full Record in Web of Science</v>
      </c>
    </row>
    <row r="24" spans="1:12" x14ac:dyDescent="0.3">
      <c r="A24" s="1">
        <v>2022</v>
      </c>
      <c r="B24" s="1" t="s">
        <v>2753</v>
      </c>
      <c r="C24" s="1" t="s">
        <v>2786</v>
      </c>
      <c r="D24" s="1" t="s">
        <v>2787</v>
      </c>
      <c r="E24" s="1" t="s">
        <v>2788</v>
      </c>
      <c r="G24" s="1" t="s">
        <v>363</v>
      </c>
      <c r="H24" s="1" t="s">
        <v>2859</v>
      </c>
      <c r="I24" s="1" t="s">
        <v>2860</v>
      </c>
      <c r="J24" s="1" t="s">
        <v>2765</v>
      </c>
      <c r="K24" s="1" t="s">
        <v>2362</v>
      </c>
      <c r="L24" s="1" t="str">
        <f>HYPERLINK("https%3A%2F%2Fwww.webofscience.com%2Fwos%2Fwoscc%2Ffull-record%2FWOS:000863153300001","View Full Record in Web of Science")</f>
        <v>View Full Record in Web of Science</v>
      </c>
    </row>
    <row r="25" spans="1:12" x14ac:dyDescent="0.3">
      <c r="A25" s="1">
        <v>2023</v>
      </c>
      <c r="B25" s="1" t="s">
        <v>2753</v>
      </c>
      <c r="C25" s="1" t="s">
        <v>2786</v>
      </c>
      <c r="D25" s="1" t="s">
        <v>2787</v>
      </c>
      <c r="E25" s="1" t="s">
        <v>2788</v>
      </c>
      <c r="G25" s="1" t="s">
        <v>354</v>
      </c>
      <c r="H25" s="1" t="s">
        <v>972</v>
      </c>
      <c r="I25" s="1" t="s">
        <v>970</v>
      </c>
      <c r="J25" s="1" t="s">
        <v>2863</v>
      </c>
      <c r="K25" s="1" t="s">
        <v>971</v>
      </c>
      <c r="L25" s="1" t="str">
        <f>HYPERLINK("https%3A%2F%2Fwww.webofscience.com%2Fwos%2Fwoscc%2Ffull-record%2FWOS:001006681700001","View Full Record in Web of Science")</f>
        <v>View Full Record in Web of Science</v>
      </c>
    </row>
    <row r="26" spans="1:12" x14ac:dyDescent="0.3">
      <c r="A26" s="1">
        <v>2024</v>
      </c>
      <c r="B26" s="1" t="s">
        <v>2753</v>
      </c>
      <c r="C26" s="1" t="s">
        <v>2786</v>
      </c>
      <c r="D26" s="1" t="s">
        <v>2916</v>
      </c>
      <c r="E26" s="1" t="s">
        <v>2917</v>
      </c>
      <c r="G26" s="1" t="s">
        <v>552</v>
      </c>
      <c r="H26" s="1" t="s">
        <v>395</v>
      </c>
      <c r="I26" s="1" t="s">
        <v>2867</v>
      </c>
      <c r="J26" s="1" t="s">
        <v>2868</v>
      </c>
      <c r="K26" s="1" t="s">
        <v>396</v>
      </c>
      <c r="L26" s="1" t="str">
        <f>HYPERLINK("https%3A%2F%2Fwww.webofscience.com%2Fwos%2Fwoscc%2Ffull-record%2FWOS:001262778300023","View Full Record in Web of Science")</f>
        <v>View Full Record in Web of Science</v>
      </c>
    </row>
    <row r="27" spans="1:12" x14ac:dyDescent="0.3">
      <c r="A27" s="1">
        <v>2024</v>
      </c>
      <c r="B27" s="1" t="s">
        <v>2753</v>
      </c>
      <c r="C27" s="1" t="s">
        <v>2786</v>
      </c>
      <c r="D27" s="1" t="s">
        <v>2920</v>
      </c>
      <c r="E27" s="1" t="s">
        <v>2921</v>
      </c>
      <c r="G27" s="1" t="s">
        <v>606</v>
      </c>
      <c r="H27" s="1" t="s">
        <v>2870</v>
      </c>
      <c r="I27" s="1" t="s">
        <v>37</v>
      </c>
      <c r="J27" s="1" t="s">
        <v>2765</v>
      </c>
      <c r="K27" s="1" t="s">
        <v>182</v>
      </c>
      <c r="L27" s="1" t="str">
        <f>HYPERLINK("https%3A%2F%2Fwww.webofscience.com%2Fwos%2Fwoscc%2Ffull-record%2FWOS:001336055700001","View Full Record in Web of Science")</f>
        <v>View Full Record in Web of Science</v>
      </c>
    </row>
    <row r="28" spans="1:12" x14ac:dyDescent="0.3">
      <c r="A28" s="1">
        <v>2024</v>
      </c>
      <c r="B28" s="1" t="s">
        <v>2753</v>
      </c>
      <c r="C28" s="1" t="s">
        <v>2786</v>
      </c>
      <c r="D28" s="1" t="s">
        <v>2927</v>
      </c>
      <c r="E28" s="1" t="s">
        <v>2928</v>
      </c>
      <c r="G28" s="1" t="s">
        <v>537</v>
      </c>
      <c r="H28" s="1" t="s">
        <v>2872</v>
      </c>
      <c r="I28" s="1" t="s">
        <v>718</v>
      </c>
      <c r="J28" s="1" t="s">
        <v>2777</v>
      </c>
      <c r="K28" s="1" t="s">
        <v>1110</v>
      </c>
      <c r="L28" s="1" t="str">
        <f>HYPERLINK("https%3A%2F%2Fwww.webofscience.com%2Fwos%2Fwoscc%2Ffull-record%2FWOS:001138055500001","View Full Record in Web of Science")</f>
        <v>View Full Record in Web of Science</v>
      </c>
    </row>
    <row r="29" spans="1:12" x14ac:dyDescent="0.3">
      <c r="A29" s="1">
        <v>2025</v>
      </c>
      <c r="B29" s="1" t="s">
        <v>2753</v>
      </c>
      <c r="C29" s="1" t="s">
        <v>2786</v>
      </c>
      <c r="D29" s="1" t="s">
        <v>2966</v>
      </c>
      <c r="E29" s="1" t="s">
        <v>2967</v>
      </c>
      <c r="G29" s="1" t="s">
        <v>484</v>
      </c>
      <c r="H29" s="1" t="s">
        <v>2874</v>
      </c>
      <c r="I29" s="1" t="s">
        <v>2757</v>
      </c>
      <c r="J29" s="1" t="s">
        <v>2863</v>
      </c>
      <c r="K29" s="1" t="s">
        <v>1980</v>
      </c>
      <c r="L29" s="1" t="str">
        <f>HYPERLINK("https%3A%2F%2Fwww.webofscience.com%2Fwos%2Fwoscc%2Ffull-record%2FWOS:001323475400001","View Full Record in Web of Science")</f>
        <v>View Full Record in Web of Science</v>
      </c>
    </row>
    <row r="30" spans="1:12" x14ac:dyDescent="0.3">
      <c r="A30" s="1">
        <v>2023</v>
      </c>
      <c r="B30" s="1" t="s">
        <v>2753</v>
      </c>
      <c r="C30" s="1" t="s">
        <v>2844</v>
      </c>
      <c r="D30" s="1" t="s">
        <v>2845</v>
      </c>
      <c r="E30" s="1" t="s">
        <v>2846</v>
      </c>
      <c r="G30" s="1" t="s">
        <v>2847</v>
      </c>
      <c r="H30" s="1" t="s">
        <v>2879</v>
      </c>
      <c r="I30" s="1" t="s">
        <v>2880</v>
      </c>
      <c r="J30" s="1" t="s">
        <v>2777</v>
      </c>
      <c r="K30" s="1" t="s">
        <v>2881</v>
      </c>
      <c r="L30" s="1" t="str">
        <f>HYPERLINK("https%3A%2F%2Fwww.webofscience.com%2Fwos%2Fwoscc%2Ffull-record%2FWOS:001252987000010","View Full Record in Web of Science")</f>
        <v>View Full Record in Web of Science</v>
      </c>
    </row>
    <row r="31" spans="1:12" x14ac:dyDescent="0.3">
      <c r="A31" s="1">
        <v>2024</v>
      </c>
      <c r="B31" s="1" t="s">
        <v>2753</v>
      </c>
      <c r="C31" s="1" t="s">
        <v>2844</v>
      </c>
      <c r="D31" s="1" t="s">
        <v>2914</v>
      </c>
      <c r="E31" s="1" t="s">
        <v>2915</v>
      </c>
      <c r="G31" s="1" t="s">
        <v>464</v>
      </c>
      <c r="H31" s="1" t="s">
        <v>408</v>
      </c>
      <c r="I31" s="1" t="s">
        <v>2885</v>
      </c>
      <c r="J31" s="1" t="s">
        <v>2806</v>
      </c>
      <c r="K31" s="1" t="s">
        <v>410</v>
      </c>
      <c r="L31" s="1" t="str">
        <f>HYPERLINK("https%3A%2F%2Fwww.webofscience.com%2Fwos%2Fwoscc%2Ffull-record%2FWOS:001201916900001","View Full Record in Web of Science")</f>
        <v>View Full Record in Web of Science</v>
      </c>
    </row>
    <row r="32" spans="1:12" x14ac:dyDescent="0.3">
      <c r="A32" s="1">
        <v>2023</v>
      </c>
      <c r="B32" s="1" t="s">
        <v>2753</v>
      </c>
      <c r="C32" s="1" t="s">
        <v>2831</v>
      </c>
      <c r="D32" s="1" t="s">
        <v>2832</v>
      </c>
      <c r="E32" s="1" t="s">
        <v>2833</v>
      </c>
      <c r="G32" s="1" t="s">
        <v>2834</v>
      </c>
      <c r="H32" s="1" t="s">
        <v>1181</v>
      </c>
      <c r="I32" s="1" t="s">
        <v>881</v>
      </c>
      <c r="J32" s="1" t="s">
        <v>2765</v>
      </c>
      <c r="K32" s="1" t="s">
        <v>1180</v>
      </c>
      <c r="L32" s="1" t="str">
        <f>HYPERLINK("https%3A%2F%2Fwww.webofscience.com%2Fwos%2Fwoscc%2Ffull-record%2FWOS:001349804700001","View Full Record in Web of Science")</f>
        <v>View Full Record in Web of Science</v>
      </c>
    </row>
    <row r="33" spans="1:12" x14ac:dyDescent="0.3">
      <c r="A33" s="1">
        <v>2024</v>
      </c>
      <c r="B33" s="1" t="s">
        <v>2753</v>
      </c>
      <c r="C33" s="1" t="s">
        <v>2864</v>
      </c>
      <c r="D33" s="1" t="s">
        <v>2865</v>
      </c>
      <c r="E33" s="1" t="s">
        <v>2866</v>
      </c>
      <c r="G33" s="1" t="s">
        <v>393</v>
      </c>
      <c r="H33" s="1" t="s">
        <v>1221</v>
      </c>
      <c r="I33" s="1" t="s">
        <v>718</v>
      </c>
      <c r="J33" s="1" t="s">
        <v>2813</v>
      </c>
      <c r="K33" s="1" t="s">
        <v>1220</v>
      </c>
      <c r="L33" s="1" t="str">
        <f>HYPERLINK("https%3A%2F%2Fwww.webofscience.com%2Fwos%2Fwoscc%2Ffull-record%2FWOS:001096938800001","View Full Record in Web of Science")</f>
        <v>View Full Record in Web of Science</v>
      </c>
    </row>
    <row r="34" spans="1:12" x14ac:dyDescent="0.3">
      <c r="A34" s="1">
        <v>2024</v>
      </c>
      <c r="B34" s="1" t="s">
        <v>2753</v>
      </c>
      <c r="C34" s="1" t="s">
        <v>2864</v>
      </c>
      <c r="D34" s="1" t="s">
        <v>2933</v>
      </c>
      <c r="E34" s="1" t="s">
        <v>2934</v>
      </c>
      <c r="G34" s="1" t="s">
        <v>2935</v>
      </c>
      <c r="H34" s="1" t="s">
        <v>2893</v>
      </c>
      <c r="I34" s="1" t="s">
        <v>2894</v>
      </c>
      <c r="J34" s="1" t="s">
        <v>2895</v>
      </c>
      <c r="K34" s="1" t="s">
        <v>2896</v>
      </c>
      <c r="L34" s="1" t="str">
        <f>HYPERLINK("https%3A%2F%2Fwww.webofscience.com%2Fwos%2Fwoscc%2Ffull-record%2FWOS:001413490700004","View Full Record in Web of Science")</f>
        <v>View Full Record in Web of Science</v>
      </c>
    </row>
    <row r="35" spans="1:12" x14ac:dyDescent="0.3">
      <c r="A35" s="1">
        <v>2020</v>
      </c>
      <c r="B35" s="1" t="s">
        <v>2753</v>
      </c>
      <c r="C35" s="1" t="s">
        <v>2760</v>
      </c>
      <c r="D35" s="1" t="s">
        <v>2761</v>
      </c>
      <c r="E35" s="1" t="s">
        <v>2762</v>
      </c>
      <c r="G35" s="1" t="s">
        <v>2763</v>
      </c>
      <c r="H35" s="1" t="s">
        <v>2899</v>
      </c>
      <c r="I35" s="1" t="s">
        <v>2823</v>
      </c>
      <c r="J35" s="1" t="s">
        <v>2863</v>
      </c>
      <c r="K35" s="1" t="s">
        <v>1960</v>
      </c>
      <c r="L35" s="1" t="str">
        <f>HYPERLINK("https%3A%2F%2Fwww.webofscience.com%2Fwos%2Fwoscc%2Ffull-record%2FWOS:001067161000001","View Full Record in Web of Science")</f>
        <v>View Full Record in Web of Science</v>
      </c>
    </row>
    <row r="36" spans="1:12" x14ac:dyDescent="0.3">
      <c r="A36" s="1">
        <v>2025</v>
      </c>
      <c r="B36" s="1" t="s">
        <v>2753</v>
      </c>
      <c r="C36" s="1" t="s">
        <v>2760</v>
      </c>
      <c r="D36" s="1" t="s">
        <v>2963</v>
      </c>
      <c r="E36" s="1" t="s">
        <v>2964</v>
      </c>
      <c r="G36" s="1" t="s">
        <v>569</v>
      </c>
      <c r="H36" s="1" t="s">
        <v>2901</v>
      </c>
      <c r="I36" s="1" t="s">
        <v>37</v>
      </c>
      <c r="J36" s="1" t="s">
        <v>2806</v>
      </c>
      <c r="K36" s="1" t="s">
        <v>194</v>
      </c>
      <c r="L36" s="1" t="str">
        <f>HYPERLINK("https%3A%2F%2Fwww.webofscience.com%2Fwos%2Fwoscc%2Ffull-record%2FWOS:001179005800001","View Full Record in Web of Science")</f>
        <v>View Full Record in Web of Science</v>
      </c>
    </row>
    <row r="37" spans="1:12" x14ac:dyDescent="0.3">
      <c r="A37" s="1">
        <v>2021</v>
      </c>
      <c r="B37" s="1" t="s">
        <v>2753</v>
      </c>
      <c r="C37" s="1" t="s">
        <v>2767</v>
      </c>
      <c r="D37" s="1" t="s">
        <v>2768</v>
      </c>
      <c r="E37" s="1" t="s">
        <v>2769</v>
      </c>
      <c r="G37" s="1" t="s">
        <v>378</v>
      </c>
      <c r="H37" s="1" t="s">
        <v>2905</v>
      </c>
      <c r="I37" s="1" t="s">
        <v>443</v>
      </c>
      <c r="J37" s="1" t="s">
        <v>2758</v>
      </c>
      <c r="K37" s="1" t="s">
        <v>494</v>
      </c>
      <c r="L37" s="1" t="str">
        <f>HYPERLINK("https%3A%2F%2Fwww.webofscience.com%2Fwos%2Fwoscc%2Ffull-record%2FWOS:001327302200001","View Full Record in Web of Science")</f>
        <v>View Full Record in Web of Science</v>
      </c>
    </row>
    <row r="38" spans="1:12" x14ac:dyDescent="0.3">
      <c r="A38" s="1">
        <v>2022</v>
      </c>
      <c r="B38" s="1" t="s">
        <v>2753</v>
      </c>
      <c r="C38" s="1" t="s">
        <v>2767</v>
      </c>
      <c r="D38" s="1" t="s">
        <v>2797</v>
      </c>
      <c r="E38" s="1" t="s">
        <v>2798</v>
      </c>
      <c r="G38" s="1" t="s">
        <v>587</v>
      </c>
      <c r="H38" s="1" t="s">
        <v>2908</v>
      </c>
      <c r="I38" s="1" t="s">
        <v>443</v>
      </c>
      <c r="J38" s="1" t="s">
        <v>2758</v>
      </c>
      <c r="K38" s="1" t="s">
        <v>444</v>
      </c>
      <c r="L38" s="1" t="str">
        <f>HYPERLINK("https%3A%2F%2Fwww.webofscience.com%2Fwos%2Fwoscc%2Ffull-record%2FWOS:001351388300001","View Full Record in Web of Science")</f>
        <v>View Full Record in Web of Science</v>
      </c>
    </row>
    <row r="39" spans="1:12" x14ac:dyDescent="0.3">
      <c r="A39" s="1">
        <v>2023</v>
      </c>
      <c r="B39" s="1" t="s">
        <v>2753</v>
      </c>
      <c r="C39" s="1" t="s">
        <v>2767</v>
      </c>
      <c r="D39" s="1" t="s">
        <v>2809</v>
      </c>
      <c r="E39" s="1" t="s">
        <v>2810</v>
      </c>
      <c r="G39" s="1" t="s">
        <v>504</v>
      </c>
      <c r="H39" s="1" t="s">
        <v>2912</v>
      </c>
      <c r="I39" s="1" t="s">
        <v>2913</v>
      </c>
      <c r="J39" s="1" t="s">
        <v>2806</v>
      </c>
      <c r="K39" s="1" t="s">
        <v>1893</v>
      </c>
      <c r="L39" s="1" t="str">
        <f>HYPERLINK("https%3A%2F%2Fwww.webofscience.com%2Fwos%2Fwoscc%2Ffull-record%2FWOS:001227028000001","View Full Record in Web of Science")</f>
        <v>View Full Record in Web of Science</v>
      </c>
    </row>
    <row r="40" spans="1:12" x14ac:dyDescent="0.3">
      <c r="A40" s="1">
        <v>2023</v>
      </c>
      <c r="B40" s="1" t="s">
        <v>2753</v>
      </c>
      <c r="C40" s="1" t="s">
        <v>2767</v>
      </c>
      <c r="D40" s="1" t="s">
        <v>2841</v>
      </c>
      <c r="E40" s="1" t="s">
        <v>2842</v>
      </c>
      <c r="G40" s="1" t="s">
        <v>400</v>
      </c>
      <c r="H40" s="1" t="s">
        <v>466</v>
      </c>
      <c r="I40" s="1" t="s">
        <v>2849</v>
      </c>
      <c r="J40" s="1" t="s">
        <v>2817</v>
      </c>
      <c r="K40" s="1" t="s">
        <v>468</v>
      </c>
      <c r="L40" s="1" t="str">
        <f>HYPERLINK("https%3A%2F%2Fwww.webofscience.com%2Fwos%2Fwoscc%2Ffull-record%2FWOS:001246169700016","View Full Record in Web of Science")</f>
        <v>View Full Record in Web of Science</v>
      </c>
    </row>
    <row r="41" spans="1:12" x14ac:dyDescent="0.3">
      <c r="A41" s="1">
        <v>2024</v>
      </c>
      <c r="B41" s="1" t="s">
        <v>2753</v>
      </c>
      <c r="C41" s="1" t="s">
        <v>2767</v>
      </c>
      <c r="D41" s="1" t="s">
        <v>2930</v>
      </c>
      <c r="E41" s="1" t="s">
        <v>2931</v>
      </c>
      <c r="G41" s="1" t="s">
        <v>511</v>
      </c>
      <c r="H41" s="1" t="s">
        <v>2918</v>
      </c>
      <c r="I41" s="1" t="s">
        <v>357</v>
      </c>
      <c r="J41" s="1" t="s">
        <v>2919</v>
      </c>
      <c r="K41" s="1" t="s">
        <v>555</v>
      </c>
      <c r="L41" s="1" t="str">
        <f>HYPERLINK("https%3A%2F%2Fwww.webofscience.com%2Fwos%2Fwoscc%2Ffull-record%2FWOS:001373730300013","View Full Record in Web of Science")</f>
        <v>View Full Record in Web of Science</v>
      </c>
    </row>
    <row r="42" spans="1:12" x14ac:dyDescent="0.3">
      <c r="A42" s="1">
        <v>2025</v>
      </c>
      <c r="B42" s="1" t="s">
        <v>2753</v>
      </c>
      <c r="C42" s="1" t="s">
        <v>2941</v>
      </c>
      <c r="D42" s="1" t="s">
        <v>2942</v>
      </c>
      <c r="E42" s="1" t="s">
        <v>2943</v>
      </c>
      <c r="G42" s="1" t="s">
        <v>2944</v>
      </c>
      <c r="H42" s="1" t="s">
        <v>608</v>
      </c>
      <c r="I42" s="1" t="s">
        <v>357</v>
      </c>
      <c r="J42" s="1" t="s">
        <v>2919</v>
      </c>
      <c r="K42" s="1" t="s">
        <v>609</v>
      </c>
      <c r="L42" s="1" t="str">
        <f>HYPERLINK("https%3A%2F%2Fwww.webofscience.com%2Fwos%2Fwoscc%2Ffull-record%2FWOS:001373730300027","View Full Record in Web of Science")</f>
        <v>View Full Record in Web of Science</v>
      </c>
    </row>
    <row r="43" spans="1:12" x14ac:dyDescent="0.3">
      <c r="A43" s="1">
        <v>2024</v>
      </c>
      <c r="B43" s="1" t="s">
        <v>2753</v>
      </c>
      <c r="C43" s="1" t="s">
        <v>2938</v>
      </c>
      <c r="D43" s="1" t="s">
        <v>2939</v>
      </c>
      <c r="E43" s="1" t="s">
        <v>2940</v>
      </c>
      <c r="G43" s="1" t="s">
        <v>432</v>
      </c>
      <c r="H43" s="1" t="s">
        <v>662</v>
      </c>
      <c r="I43" s="1" t="s">
        <v>459</v>
      </c>
      <c r="J43" s="1" t="s">
        <v>2799</v>
      </c>
      <c r="K43" s="1" t="s">
        <v>663</v>
      </c>
      <c r="L43" s="1" t="str">
        <f>HYPERLINK("https%3A%2F%2Fwww.webofscience.com%2Fwos%2Fwoscc%2Ffull-record%2FWOS:001360494400014","View Full Record in Web of Science")</f>
        <v>View Full Record in Web of Science</v>
      </c>
    </row>
    <row r="44" spans="1:12" x14ac:dyDescent="0.3">
      <c r="A44" s="1">
        <v>2025</v>
      </c>
      <c r="B44" s="1" t="s">
        <v>2753</v>
      </c>
      <c r="C44" s="1" t="s">
        <v>2938</v>
      </c>
      <c r="D44" s="1" t="s">
        <v>2951</v>
      </c>
      <c r="E44" s="1" t="s">
        <v>930</v>
      </c>
      <c r="G44" s="1" t="s">
        <v>415</v>
      </c>
      <c r="H44" s="1" t="s">
        <v>2926</v>
      </c>
      <c r="I44" s="1" t="s">
        <v>718</v>
      </c>
      <c r="J44" s="1" t="s">
        <v>2777</v>
      </c>
      <c r="K44" s="1" t="s">
        <v>1168</v>
      </c>
      <c r="L44" s="1" t="str">
        <f>HYPERLINK("https%3A%2F%2Fwww.webofscience.com%2Fwos%2Fwoscc%2Ffull-record%2FWOS:001147266300001","View Full Record in Web of Science")</f>
        <v>View Full Record in Web of Science</v>
      </c>
    </row>
    <row r="45" spans="1:12" x14ac:dyDescent="0.3">
      <c r="A45" s="1">
        <v>2022</v>
      </c>
      <c r="B45" s="1" t="s">
        <v>2753</v>
      </c>
      <c r="C45" s="1" t="s">
        <v>2800</v>
      </c>
      <c r="D45" s="1" t="s">
        <v>2801</v>
      </c>
      <c r="E45" s="1" t="s">
        <v>60</v>
      </c>
      <c r="G45" s="1" t="s">
        <v>61</v>
      </c>
      <c r="H45" s="1" t="s">
        <v>2929</v>
      </c>
      <c r="I45" s="1" t="s">
        <v>357</v>
      </c>
      <c r="J45" s="1" t="s">
        <v>2919</v>
      </c>
      <c r="K45" s="1" t="s">
        <v>540</v>
      </c>
      <c r="L45" s="1" t="str">
        <f>HYPERLINK("https%3A%2F%2Fwww.webofscience.com%2Fwos%2Fwoscc%2Ffull-record%2FWOS:001373730300023","View Full Record in Web of Science")</f>
        <v>View Full Record in Web of Science</v>
      </c>
    </row>
    <row r="46" spans="1:12" x14ac:dyDescent="0.3">
      <c r="A46" s="1">
        <v>2024</v>
      </c>
      <c r="B46" s="1" t="s">
        <v>2753</v>
      </c>
      <c r="C46" s="1" t="s">
        <v>2800</v>
      </c>
      <c r="D46" s="1" t="s">
        <v>2869</v>
      </c>
      <c r="E46" s="1" t="s">
        <v>180</v>
      </c>
      <c r="G46" s="1" t="s">
        <v>181</v>
      </c>
      <c r="H46" s="1" t="s">
        <v>2932</v>
      </c>
      <c r="I46" s="1" t="s">
        <v>2770</v>
      </c>
      <c r="J46" s="1" t="s">
        <v>2777</v>
      </c>
      <c r="K46" s="1" t="s">
        <v>514</v>
      </c>
      <c r="L46" s="1" t="str">
        <f>HYPERLINK("https%3A%2F%2Fwww.webofscience.com%2Fwos%2Fwoscc%2Ffull-record%2FWOS:001178960100002","View Full Record in Web of Science")</f>
        <v>View Full Record in Web of Science</v>
      </c>
    </row>
    <row r="47" spans="1:12" x14ac:dyDescent="0.3">
      <c r="A47" s="1">
        <v>2024</v>
      </c>
      <c r="B47" s="1" t="s">
        <v>2753</v>
      </c>
      <c r="C47" s="1" t="s">
        <v>2800</v>
      </c>
      <c r="D47" s="1" t="s">
        <v>2900</v>
      </c>
      <c r="E47" s="1" t="s">
        <v>192</v>
      </c>
      <c r="G47" s="1" t="s">
        <v>193</v>
      </c>
      <c r="H47" s="1" t="s">
        <v>2936</v>
      </c>
      <c r="I47" s="1" t="s">
        <v>2867</v>
      </c>
      <c r="J47" s="1" t="s">
        <v>2817</v>
      </c>
      <c r="K47" s="1" t="s">
        <v>2937</v>
      </c>
      <c r="L47" s="1" t="str">
        <f>HYPERLINK("https%3A%2F%2Fwww.webofscience.com%2Fwos%2Fwoscc%2Ffull-record%2FWOS:001241160100026","View Full Record in Web of Science")</f>
        <v>View Full Record in Web of Science</v>
      </c>
    </row>
    <row r="48" spans="1:12" x14ac:dyDescent="0.3">
      <c r="A48" s="1">
        <v>2023</v>
      </c>
      <c r="B48" s="1" t="s">
        <v>2753</v>
      </c>
      <c r="C48" s="1" t="s">
        <v>2861</v>
      </c>
      <c r="D48" s="1" t="s">
        <v>2862</v>
      </c>
      <c r="E48" s="1" t="s">
        <v>968</v>
      </c>
      <c r="G48" s="1" t="s">
        <v>969</v>
      </c>
      <c r="H48" s="1" t="s">
        <v>434</v>
      </c>
      <c r="I48" s="1" t="s">
        <v>418</v>
      </c>
      <c r="J48" s="1" t="s">
        <v>2863</v>
      </c>
      <c r="K48" s="1" t="s">
        <v>435</v>
      </c>
      <c r="L48" s="1" t="str">
        <f>HYPERLINK("https%3A%2F%2Fwww.webofscience.com%2Fwos%2Fwoscc%2Ffull-record%2FWOS:001336306800024","View Full Record in Web of Science")</f>
        <v>View Full Record in Web of Science</v>
      </c>
    </row>
    <row r="49" spans="1:12" x14ac:dyDescent="0.3">
      <c r="A49" s="1">
        <v>2022</v>
      </c>
      <c r="B49" s="1" t="s">
        <v>2753</v>
      </c>
      <c r="C49" s="1" t="s">
        <v>2790</v>
      </c>
      <c r="D49" s="1" t="s">
        <v>2791</v>
      </c>
      <c r="E49" s="1" t="s">
        <v>2792</v>
      </c>
      <c r="G49" s="1" t="s">
        <v>2793</v>
      </c>
      <c r="H49" s="1" t="s">
        <v>2945</v>
      </c>
      <c r="I49" s="1" t="s">
        <v>2758</v>
      </c>
      <c r="J49" s="1" t="s">
        <v>2758</v>
      </c>
      <c r="K49" s="1" t="s">
        <v>348</v>
      </c>
      <c r="L49" s="1" t="str">
        <f>HYPERLINK("https%3A%2F%2Fwww.webofscience.com%2Fwos%2Fwoscc%2Ffull-record%2FWOS:001499502700001","View Full Record in Web of Science")</f>
        <v>View Full Record in Web of Science</v>
      </c>
    </row>
    <row r="50" spans="1:12" x14ac:dyDescent="0.3">
      <c r="A50" s="1">
        <v>2024</v>
      </c>
      <c r="B50" s="1" t="s">
        <v>2753</v>
      </c>
      <c r="C50" s="1" t="s">
        <v>2909</v>
      </c>
      <c r="D50" s="1" t="s">
        <v>2910</v>
      </c>
      <c r="E50" s="1" t="s">
        <v>2911</v>
      </c>
      <c r="G50" s="1" t="s">
        <v>1892</v>
      </c>
      <c r="H50" s="1" t="s">
        <v>2949</v>
      </c>
      <c r="I50" s="1" t="s">
        <v>2950</v>
      </c>
      <c r="J50" s="1" t="s">
        <v>2758</v>
      </c>
      <c r="K50" s="1" t="s">
        <v>428</v>
      </c>
      <c r="L50" s="1" t="str">
        <f>HYPERLINK("https%3A%2F%2Fwww.webofscience.com%2Fwos%2Fwoscc%2Ffull-record%2FWOS:001398755600001","View Full Record in Web of Science")</f>
        <v>View Full Record in Web of Science</v>
      </c>
    </row>
    <row r="51" spans="1:12" x14ac:dyDescent="0.3">
      <c r="A51" s="1">
        <v>2022</v>
      </c>
      <c r="B51" s="1" t="s">
        <v>2753</v>
      </c>
      <c r="C51" s="1" t="s">
        <v>2802</v>
      </c>
      <c r="D51" s="1" t="s">
        <v>2803</v>
      </c>
      <c r="E51" s="1" t="s">
        <v>86</v>
      </c>
      <c r="G51" s="1" t="s">
        <v>2804</v>
      </c>
      <c r="H51" s="1" t="s">
        <v>417</v>
      </c>
      <c r="I51" s="1" t="s">
        <v>418</v>
      </c>
      <c r="J51" s="1" t="s">
        <v>2952</v>
      </c>
      <c r="K51" s="1" t="s">
        <v>419</v>
      </c>
      <c r="L51" s="1" t="str">
        <f>HYPERLINK("https%3A%2F%2Fwww.webofscience.com%2Fwos%2Fwoscc%2Ffull-record%2FWOS:001464942200023","View Full Record in Web of Science")</f>
        <v>View Full Record in Web of Science</v>
      </c>
    </row>
    <row r="52" spans="1:12" x14ac:dyDescent="0.3">
      <c r="A52" s="1">
        <v>2025</v>
      </c>
      <c r="B52" s="1" t="s">
        <v>2753</v>
      </c>
      <c r="C52" s="1" t="s">
        <v>2953</v>
      </c>
      <c r="D52" s="1" t="s">
        <v>2954</v>
      </c>
      <c r="E52" s="1" t="s">
        <v>2955</v>
      </c>
      <c r="G52" s="1" t="s">
        <v>2956</v>
      </c>
      <c r="H52" s="1" t="s">
        <v>2957</v>
      </c>
      <c r="I52" s="1" t="s">
        <v>2958</v>
      </c>
      <c r="J52" s="1" t="s">
        <v>2959</v>
      </c>
      <c r="K52" s="1" t="s">
        <v>2960</v>
      </c>
      <c r="L52" s="1" t="str">
        <f>HYPERLINK("https%3A%2F%2Fwww.webofscience.com%2Fwos%2Fwoscc%2Ffull-record%2FWOS:001498767900028","View Full Record in Web of Science")</f>
        <v>View Full Record in Web of Science</v>
      </c>
    </row>
    <row r="53" spans="1:12" x14ac:dyDescent="0.3">
      <c r="A53" s="1">
        <v>2023</v>
      </c>
      <c r="B53" s="1" t="s">
        <v>2753</v>
      </c>
      <c r="C53" s="1" t="s">
        <v>2818</v>
      </c>
      <c r="D53" s="1" t="s">
        <v>2819</v>
      </c>
      <c r="E53" s="1" t="s">
        <v>2820</v>
      </c>
      <c r="G53" s="1" t="s">
        <v>2821</v>
      </c>
      <c r="H53" s="1" t="s">
        <v>499</v>
      </c>
      <c r="I53" s="1" t="s">
        <v>443</v>
      </c>
      <c r="J53" s="1" t="s">
        <v>2758</v>
      </c>
      <c r="K53" s="1" t="s">
        <v>500</v>
      </c>
      <c r="L53" s="1" t="str">
        <f>HYPERLINK("https%3A%2F%2Fwww.webofscience.com%2Fwos%2Fwoscc%2Ffull-record%2FWOS:001448323100003","View Full Record in Web of Science")</f>
        <v>View Full Record in Web of Science</v>
      </c>
    </row>
    <row r="54" spans="1:12" x14ac:dyDescent="0.3">
      <c r="A54" s="1">
        <v>2024</v>
      </c>
      <c r="B54" s="1" t="s">
        <v>2753</v>
      </c>
      <c r="C54" s="1" t="s">
        <v>2818</v>
      </c>
      <c r="D54" s="1" t="s">
        <v>2897</v>
      </c>
      <c r="E54" s="1" t="s">
        <v>2898</v>
      </c>
      <c r="G54" s="1" t="s">
        <v>1959</v>
      </c>
      <c r="H54" s="1" t="s">
        <v>2965</v>
      </c>
      <c r="I54" s="1" t="s">
        <v>548</v>
      </c>
      <c r="J54" s="1" t="s">
        <v>2777</v>
      </c>
      <c r="K54" s="1" t="s">
        <v>572</v>
      </c>
      <c r="L54" s="1" t="str">
        <f>HYPERLINK("https%3A%2F%2Fwww.webofscience.com%2Fwos%2Fwoscc%2Ffull-record%2FWOS:001473161100050","View Full Record in Web of Science")</f>
        <v>View Full Record in Web of Science</v>
      </c>
    </row>
    <row r="55" spans="1:12" x14ac:dyDescent="0.3">
      <c r="A55" s="1">
        <v>2021</v>
      </c>
      <c r="B55" s="1" t="s">
        <v>2753</v>
      </c>
      <c r="C55" s="1" t="s">
        <v>2772</v>
      </c>
      <c r="D55" s="1" t="s">
        <v>2773</v>
      </c>
      <c r="E55" s="1" t="s">
        <v>2774</v>
      </c>
      <c r="G55" s="1" t="s">
        <v>2680</v>
      </c>
      <c r="H55" s="1" t="s">
        <v>486</v>
      </c>
      <c r="I55" s="1" t="s">
        <v>357</v>
      </c>
      <c r="J55" s="1" t="s">
        <v>2785</v>
      </c>
      <c r="K55" s="1" t="s">
        <v>487</v>
      </c>
      <c r="L55" s="1" t="str">
        <f>HYPERLINK("https%3A%2F%2Fwww.webofscience.com%2Fwos%2Fwoscc%2Ffull-record%2FWOS:001440184200014","View Full Record in Web of Science")</f>
        <v>View Full Record in Web of Science</v>
      </c>
    </row>
  </sheetData>
  <sortState xmlns:xlrd2="http://schemas.microsoft.com/office/spreadsheetml/2017/richdata2" ref="B2:G55">
    <sortCondition ref="F1:F5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6D18-FBB3-4B64-8BC0-8DA1AC0A3AE3}">
  <dimension ref="A1:AE445"/>
  <sheetViews>
    <sheetView tabSelected="1" workbookViewId="0">
      <selection activeCell="AD11" sqref="AD11"/>
    </sheetView>
  </sheetViews>
  <sheetFormatPr defaultRowHeight="14.4" x14ac:dyDescent="0.3"/>
  <cols>
    <col min="1" max="1" width="14.44140625" style="1" customWidth="1"/>
    <col min="2" max="2" width="18.21875" customWidth="1"/>
    <col min="3" max="3" width="52.6640625" style="1" customWidth="1"/>
    <col min="4" max="5" width="16.77734375" customWidth="1"/>
    <col min="6" max="6" width="17.77734375" customWidth="1"/>
    <col min="7" max="8" width="10.5546875" customWidth="1"/>
    <col min="9" max="13" width="11.5546875" customWidth="1"/>
    <col min="15" max="15" width="17.77734375" customWidth="1"/>
    <col min="16" max="16" width="22.77734375" bestFit="1" customWidth="1"/>
    <col min="17" max="17" width="15.77734375" bestFit="1" customWidth="1"/>
    <col min="18" max="18" width="19.88671875" customWidth="1"/>
    <col min="19" max="19" width="9.33203125" customWidth="1"/>
    <col min="20" max="24" width="5" bestFit="1" customWidth="1"/>
    <col min="25" max="25" width="10.44140625" customWidth="1"/>
    <col min="26" max="26" width="7.77734375" customWidth="1"/>
    <col min="27" max="27" width="73.6640625" customWidth="1"/>
    <col min="28" max="28" width="19.109375" style="1" bestFit="1" customWidth="1"/>
    <col min="29" max="29" width="9.21875" customWidth="1"/>
    <col min="30" max="30" width="66.88671875" customWidth="1"/>
    <col min="31" max="31" width="31" style="1" bestFit="1" customWidth="1"/>
    <col min="32" max="33" width="5" bestFit="1" customWidth="1"/>
    <col min="34" max="34" width="11" bestFit="1" customWidth="1"/>
    <col min="35" max="35" width="12.5546875" customWidth="1"/>
    <col min="36" max="42" width="52.44140625" bestFit="1" customWidth="1"/>
    <col min="43" max="43" width="9.6640625" bestFit="1" customWidth="1"/>
    <col min="44" max="59" width="78.44140625" bestFit="1" customWidth="1"/>
    <col min="60" max="60" width="9.6640625" bestFit="1" customWidth="1"/>
    <col min="61" max="95" width="69.6640625" bestFit="1" customWidth="1"/>
    <col min="96" max="96" width="9.6640625" bestFit="1" customWidth="1"/>
    <col min="97" max="129" width="80.77734375" bestFit="1" customWidth="1"/>
    <col min="130" max="130" width="9.6640625" bestFit="1" customWidth="1"/>
    <col min="131" max="195" width="78.44140625" bestFit="1" customWidth="1"/>
    <col min="196" max="196" width="9.6640625" bestFit="1" customWidth="1"/>
    <col min="197" max="239" width="69.6640625" bestFit="1" customWidth="1"/>
    <col min="240" max="240" width="9.6640625" bestFit="1" customWidth="1"/>
    <col min="241" max="241" width="11" bestFit="1" customWidth="1"/>
    <col min="242" max="252" width="80.77734375" bestFit="1" customWidth="1"/>
    <col min="253" max="253" width="26.6640625" bestFit="1" customWidth="1"/>
    <col min="254" max="254" width="22.109375" bestFit="1" customWidth="1"/>
    <col min="255" max="255" width="74.5546875" bestFit="1" customWidth="1"/>
    <col min="256" max="256" width="48.5546875" bestFit="1" customWidth="1"/>
    <col min="257" max="257" width="51.6640625" bestFit="1" customWidth="1"/>
    <col min="258" max="258" width="35.33203125" bestFit="1" customWidth="1"/>
    <col min="259" max="259" width="38.44140625" bestFit="1" customWidth="1"/>
    <col min="260" max="260" width="33.109375" bestFit="1" customWidth="1"/>
    <col min="261" max="261" width="7" bestFit="1" customWidth="1"/>
    <col min="262" max="262" width="36.21875" bestFit="1" customWidth="1"/>
    <col min="263" max="263" width="20.44140625" bestFit="1" customWidth="1"/>
    <col min="264" max="264" width="23.33203125" bestFit="1" customWidth="1"/>
    <col min="265" max="265" width="9.44140625" bestFit="1" customWidth="1"/>
    <col min="266" max="266" width="12.33203125" bestFit="1" customWidth="1"/>
    <col min="267" max="267" width="39.5546875" bestFit="1" customWidth="1"/>
    <col min="268" max="268" width="42.6640625" bestFit="1" customWidth="1"/>
    <col min="269" max="269" width="21.33203125" bestFit="1" customWidth="1"/>
    <col min="270" max="270" width="24.44140625" bestFit="1" customWidth="1"/>
    <col min="271" max="271" width="33.109375" bestFit="1" customWidth="1"/>
    <col min="272" max="272" width="36.21875" bestFit="1" customWidth="1"/>
    <col min="273" max="273" width="34.6640625" bestFit="1" customWidth="1"/>
    <col min="274" max="274" width="37.77734375" bestFit="1" customWidth="1"/>
    <col min="275" max="275" width="11.6640625" bestFit="1" customWidth="1"/>
    <col min="276" max="276" width="14.6640625" bestFit="1" customWidth="1"/>
    <col min="277" max="277" width="14.5546875" bestFit="1" customWidth="1"/>
    <col min="278" max="278" width="17.6640625" bestFit="1" customWidth="1"/>
    <col min="279" max="279" width="45.5546875" bestFit="1" customWidth="1"/>
    <col min="280" max="280" width="48.5546875" bestFit="1" customWidth="1"/>
    <col min="281" max="281" width="14" bestFit="1" customWidth="1"/>
    <col min="282" max="282" width="17.109375" bestFit="1" customWidth="1"/>
    <col min="283" max="283" width="46.44140625" bestFit="1" customWidth="1"/>
    <col min="284" max="284" width="49.6640625" bestFit="1" customWidth="1"/>
    <col min="285" max="285" width="33.88671875" bestFit="1" customWidth="1"/>
    <col min="286" max="286" width="14.44140625" bestFit="1" customWidth="1"/>
    <col min="287" max="287" width="37.109375" bestFit="1" customWidth="1"/>
    <col min="288" max="288" width="11" bestFit="1" customWidth="1"/>
    <col min="289" max="289" width="19.21875" bestFit="1" customWidth="1"/>
    <col min="290" max="290" width="22.109375" bestFit="1" customWidth="1"/>
    <col min="291" max="291" width="26.77734375" bestFit="1" customWidth="1"/>
    <col min="292" max="295" width="5" bestFit="1" customWidth="1"/>
    <col min="296" max="296" width="29.88671875" bestFit="1" customWidth="1"/>
    <col min="297" max="297" width="71.44140625" bestFit="1" customWidth="1"/>
    <col min="298" max="299" width="5" bestFit="1" customWidth="1"/>
    <col min="300" max="300" width="74.5546875" bestFit="1" customWidth="1"/>
    <col min="301" max="301" width="48.5546875" bestFit="1" customWidth="1"/>
    <col min="302" max="302" width="51.6640625" bestFit="1" customWidth="1"/>
    <col min="303" max="303" width="35.33203125" bestFit="1" customWidth="1"/>
    <col min="304" max="304" width="38.44140625" bestFit="1" customWidth="1"/>
    <col min="305" max="305" width="33.109375" bestFit="1" customWidth="1"/>
    <col min="306" max="306" width="36.21875" bestFit="1" customWidth="1"/>
    <col min="307" max="307" width="20.44140625" bestFit="1" customWidth="1"/>
    <col min="308" max="308" width="23.33203125" bestFit="1" customWidth="1"/>
    <col min="309" max="309" width="9.44140625" bestFit="1" customWidth="1"/>
    <col min="310" max="312" width="5" bestFit="1" customWidth="1"/>
    <col min="313" max="313" width="12.33203125" bestFit="1" customWidth="1"/>
    <col min="314" max="314" width="39.5546875" bestFit="1" customWidth="1"/>
    <col min="315" max="317" width="5" bestFit="1" customWidth="1"/>
    <col min="318" max="318" width="42.6640625" bestFit="1" customWidth="1"/>
    <col min="319" max="319" width="21.33203125" bestFit="1" customWidth="1"/>
    <col min="320" max="321" width="5" bestFit="1" customWidth="1"/>
    <col min="322" max="322" width="24.44140625" bestFit="1" customWidth="1"/>
    <col min="323" max="323" width="33.109375" bestFit="1" customWidth="1"/>
    <col min="324" max="324" width="5" bestFit="1" customWidth="1"/>
    <col min="325" max="325" width="36.21875" bestFit="1" customWidth="1"/>
    <col min="326" max="326" width="34.6640625" bestFit="1" customWidth="1"/>
    <col min="327" max="327" width="5" bestFit="1" customWidth="1"/>
    <col min="328" max="328" width="37.77734375" bestFit="1" customWidth="1"/>
    <col min="329" max="329" width="11.6640625" bestFit="1" customWidth="1"/>
    <col min="330" max="330" width="14.6640625" bestFit="1" customWidth="1"/>
    <col min="331" max="331" width="14.5546875" bestFit="1" customWidth="1"/>
    <col min="332" max="332" width="17.6640625" bestFit="1" customWidth="1"/>
    <col min="333" max="333" width="45.5546875" bestFit="1" customWidth="1"/>
    <col min="334" max="334" width="48.5546875" bestFit="1" customWidth="1"/>
    <col min="335" max="335" width="14" bestFit="1" customWidth="1"/>
    <col min="336" max="336" width="17.109375" bestFit="1" customWidth="1"/>
    <col min="337" max="337" width="46.44140625" bestFit="1" customWidth="1"/>
    <col min="338" max="338" width="49.6640625" bestFit="1" customWidth="1"/>
    <col min="339" max="339" width="33.88671875" bestFit="1" customWidth="1"/>
    <col min="340" max="340" width="5" bestFit="1" customWidth="1"/>
    <col min="341" max="341" width="37.109375" bestFit="1" customWidth="1"/>
    <col min="342" max="342" width="11" bestFit="1" customWidth="1"/>
  </cols>
  <sheetData>
    <row r="1" spans="1:31" x14ac:dyDescent="0.3">
      <c r="A1" s="1" t="s">
        <v>1</v>
      </c>
      <c r="B1" s="1" t="s">
        <v>0</v>
      </c>
      <c r="C1" s="1" t="s">
        <v>2748</v>
      </c>
      <c r="D1" s="1" t="s">
        <v>333</v>
      </c>
      <c r="E1" s="1" t="s">
        <v>2749</v>
      </c>
      <c r="F1" s="1" t="s">
        <v>2750</v>
      </c>
      <c r="G1" s="1" t="s">
        <v>335</v>
      </c>
      <c r="H1" s="1" t="s">
        <v>5</v>
      </c>
      <c r="I1" s="1" t="s">
        <v>2751</v>
      </c>
      <c r="J1" s="1" t="s">
        <v>6</v>
      </c>
      <c r="K1" s="1" t="s">
        <v>2752</v>
      </c>
      <c r="L1" s="1" t="s">
        <v>2968</v>
      </c>
      <c r="M1" s="1" t="s">
        <v>2969</v>
      </c>
      <c r="O1" s="7" t="s">
        <v>1</v>
      </c>
      <c r="P1" s="8"/>
      <c r="R1" s="9" t="s">
        <v>2991</v>
      </c>
      <c r="S1" t="s">
        <v>2987</v>
      </c>
    </row>
    <row r="2" spans="1:31" ht="15" thickBot="1" x14ac:dyDescent="0.35">
      <c r="A2" s="1">
        <v>2021</v>
      </c>
      <c r="B2" s="1" t="s">
        <v>14</v>
      </c>
      <c r="C2" s="1" t="s">
        <v>26</v>
      </c>
      <c r="D2" s="1" t="s">
        <v>39</v>
      </c>
      <c r="E2" s="1" t="s">
        <v>40</v>
      </c>
      <c r="F2" s="1" t="s">
        <v>27</v>
      </c>
      <c r="G2" s="1" t="s">
        <v>41</v>
      </c>
      <c r="H2" s="1" t="s">
        <v>42</v>
      </c>
      <c r="I2" s="1" t="s">
        <v>33</v>
      </c>
      <c r="J2" s="1">
        <v>45859.765486111108</v>
      </c>
      <c r="K2" s="1">
        <v>45859.765486111108</v>
      </c>
      <c r="L2" s="1" t="s">
        <v>15</v>
      </c>
      <c r="M2" s="1">
        <v>1</v>
      </c>
    </row>
    <row r="3" spans="1:31" ht="15" thickBot="1" x14ac:dyDescent="0.35">
      <c r="A3" s="1">
        <v>2024</v>
      </c>
      <c r="B3" s="1" t="s">
        <v>14</v>
      </c>
      <c r="C3" s="1" t="s">
        <v>150</v>
      </c>
      <c r="D3" s="1" t="s">
        <v>203</v>
      </c>
      <c r="E3" s="1" t="s">
        <v>204</v>
      </c>
      <c r="F3" s="1" t="s">
        <v>151</v>
      </c>
      <c r="G3" s="1" t="s">
        <v>205</v>
      </c>
      <c r="H3" s="1" t="s">
        <v>206</v>
      </c>
      <c r="I3" s="1" t="s">
        <v>208</v>
      </c>
      <c r="J3" s="1">
        <v>45859.763495370367</v>
      </c>
      <c r="K3" s="1">
        <v>45859.763495370367</v>
      </c>
      <c r="L3" s="1" t="s">
        <v>15</v>
      </c>
      <c r="M3" s="1">
        <v>1</v>
      </c>
      <c r="O3" t="s">
        <v>2970</v>
      </c>
      <c r="P3">
        <v>2023.4145077720207</v>
      </c>
      <c r="R3" s="17" t="s">
        <v>2990</v>
      </c>
      <c r="S3" s="18" t="s">
        <v>2985</v>
      </c>
      <c r="T3" s="19"/>
      <c r="U3" s="19"/>
      <c r="V3" s="19"/>
      <c r="W3" s="19"/>
      <c r="X3" s="19"/>
      <c r="Y3" s="20"/>
      <c r="AA3" s="10" t="s">
        <v>2992</v>
      </c>
      <c r="AB3" s="11" t="s">
        <v>2993</v>
      </c>
      <c r="AD3" s="16" t="s">
        <v>2992</v>
      </c>
      <c r="AE3" s="27" t="s">
        <v>2994</v>
      </c>
    </row>
    <row r="4" spans="1:31" x14ac:dyDescent="0.3">
      <c r="A4" s="1">
        <v>2024</v>
      </c>
      <c r="B4" s="1" t="s">
        <v>14</v>
      </c>
      <c r="C4" s="1" t="s">
        <v>34</v>
      </c>
      <c r="D4" s="1" t="s">
        <v>226</v>
      </c>
      <c r="E4" s="1" t="s">
        <v>227</v>
      </c>
      <c r="F4" s="1" t="s">
        <v>35</v>
      </c>
      <c r="G4" s="1" t="s">
        <v>228</v>
      </c>
      <c r="H4" s="1" t="s">
        <v>229</v>
      </c>
      <c r="I4" s="1" t="s">
        <v>197</v>
      </c>
      <c r="J4" s="1">
        <v>45859.763506944444</v>
      </c>
      <c r="K4" s="1">
        <v>45859.763506944444</v>
      </c>
      <c r="L4" s="1" t="s">
        <v>15</v>
      </c>
      <c r="M4" s="1">
        <v>1</v>
      </c>
      <c r="O4" t="s">
        <v>2971</v>
      </c>
      <c r="P4">
        <v>7.149751934651298E-2</v>
      </c>
      <c r="R4" s="21" t="s">
        <v>2988</v>
      </c>
      <c r="S4">
        <v>2020</v>
      </c>
      <c r="T4">
        <v>2021</v>
      </c>
      <c r="U4">
        <v>2022</v>
      </c>
      <c r="V4">
        <v>2023</v>
      </c>
      <c r="W4">
        <v>2024</v>
      </c>
      <c r="X4">
        <v>2025</v>
      </c>
      <c r="Y4" s="22" t="s">
        <v>2986</v>
      </c>
      <c r="AA4" s="11" t="s">
        <v>26</v>
      </c>
      <c r="AB4" s="11">
        <v>1</v>
      </c>
      <c r="AD4" s="13" t="s">
        <v>770</v>
      </c>
      <c r="AE4" s="28">
        <v>8</v>
      </c>
    </row>
    <row r="5" spans="1:31" x14ac:dyDescent="0.3">
      <c r="A5" s="1">
        <v>2024</v>
      </c>
      <c r="B5" s="1" t="s">
        <v>14</v>
      </c>
      <c r="C5" s="1" t="s">
        <v>116</v>
      </c>
      <c r="D5" s="1" t="s">
        <v>209</v>
      </c>
      <c r="E5" s="1" t="s">
        <v>210</v>
      </c>
      <c r="F5" s="1" t="s">
        <v>117</v>
      </c>
      <c r="G5" s="1" t="s">
        <v>211</v>
      </c>
      <c r="H5" s="1" t="s">
        <v>212</v>
      </c>
      <c r="I5" s="1" t="s">
        <v>214</v>
      </c>
      <c r="J5" s="1">
        <v>45859.763495370367</v>
      </c>
      <c r="K5" s="1">
        <v>45859.763495370367</v>
      </c>
      <c r="L5" s="1" t="s">
        <v>15</v>
      </c>
      <c r="M5" s="1">
        <v>1</v>
      </c>
      <c r="O5" t="s">
        <v>2972</v>
      </c>
      <c r="P5">
        <v>2024</v>
      </c>
      <c r="R5" s="23" t="s">
        <v>14</v>
      </c>
      <c r="S5">
        <v>1</v>
      </c>
      <c r="T5">
        <v>1</v>
      </c>
      <c r="U5">
        <v>4</v>
      </c>
      <c r="W5">
        <v>3</v>
      </c>
      <c r="X5">
        <v>1</v>
      </c>
      <c r="Y5" s="22">
        <v>10</v>
      </c>
      <c r="AA5" s="11" t="s">
        <v>150</v>
      </c>
      <c r="AB5" s="11">
        <v>1</v>
      </c>
      <c r="AD5" s="14" t="s">
        <v>1514</v>
      </c>
      <c r="AE5" s="29">
        <v>10</v>
      </c>
    </row>
    <row r="6" spans="1:31" x14ac:dyDescent="0.3">
      <c r="A6" s="1">
        <v>2022</v>
      </c>
      <c r="B6" s="1" t="s">
        <v>14</v>
      </c>
      <c r="C6" s="1" t="s">
        <v>78</v>
      </c>
      <c r="D6" s="1" t="s">
        <v>79</v>
      </c>
      <c r="E6" s="1" t="s">
        <v>80</v>
      </c>
      <c r="F6" s="1" t="s">
        <v>81</v>
      </c>
      <c r="G6" s="1" t="s">
        <v>82</v>
      </c>
      <c r="H6" s="1" t="s">
        <v>83</v>
      </c>
      <c r="I6" s="1" t="s">
        <v>85</v>
      </c>
      <c r="J6" s="1">
        <v>45859.763506944444</v>
      </c>
      <c r="K6" s="1">
        <v>45859.763506944444</v>
      </c>
      <c r="L6" s="1" t="s">
        <v>15</v>
      </c>
      <c r="M6" s="1">
        <v>1</v>
      </c>
      <c r="O6" t="s">
        <v>2973</v>
      </c>
      <c r="P6">
        <v>2024</v>
      </c>
      <c r="R6" s="23" t="s">
        <v>626</v>
      </c>
      <c r="X6">
        <v>1</v>
      </c>
      <c r="Y6" s="22">
        <v>1</v>
      </c>
      <c r="AA6" s="11" t="s">
        <v>34</v>
      </c>
      <c r="AB6" s="11">
        <v>1</v>
      </c>
      <c r="AD6" s="14" t="s">
        <v>755</v>
      </c>
      <c r="AE6" s="29">
        <v>11</v>
      </c>
    </row>
    <row r="7" spans="1:31" x14ac:dyDescent="0.3">
      <c r="A7" s="1">
        <v>2022</v>
      </c>
      <c r="B7" s="1" t="s">
        <v>14</v>
      </c>
      <c r="C7" s="1" t="s">
        <v>96</v>
      </c>
      <c r="D7" s="1" t="s">
        <v>97</v>
      </c>
      <c r="E7" s="1" t="s">
        <v>98</v>
      </c>
      <c r="F7" s="1" t="s">
        <v>99</v>
      </c>
      <c r="G7" s="1" t="s">
        <v>100</v>
      </c>
      <c r="H7" s="1" t="s">
        <v>101</v>
      </c>
      <c r="I7" s="1" t="s">
        <v>103</v>
      </c>
      <c r="J7" s="1">
        <v>45859.765081018515</v>
      </c>
      <c r="K7" s="1">
        <v>45859.765081018515</v>
      </c>
      <c r="L7" s="1" t="s">
        <v>15</v>
      </c>
      <c r="M7" s="1">
        <v>1</v>
      </c>
      <c r="O7" t="s">
        <v>2974</v>
      </c>
      <c r="P7">
        <v>1.404703376255688</v>
      </c>
      <c r="R7" s="23" t="s">
        <v>342</v>
      </c>
      <c r="S7">
        <v>1</v>
      </c>
      <c r="T7">
        <v>3</v>
      </c>
      <c r="U7">
        <v>3</v>
      </c>
      <c r="V7">
        <v>7</v>
      </c>
      <c r="W7">
        <v>16</v>
      </c>
      <c r="X7">
        <v>14</v>
      </c>
      <c r="Y7" s="22">
        <v>44</v>
      </c>
      <c r="AA7" s="11" t="s">
        <v>116</v>
      </c>
      <c r="AB7" s="11">
        <v>1</v>
      </c>
      <c r="AD7" s="14" t="s">
        <v>880</v>
      </c>
      <c r="AE7" s="29">
        <v>6</v>
      </c>
    </row>
    <row r="8" spans="1:31" x14ac:dyDescent="0.3">
      <c r="A8" s="1">
        <v>2022</v>
      </c>
      <c r="B8" s="1" t="s">
        <v>14</v>
      </c>
      <c r="C8" s="1" t="s">
        <v>46</v>
      </c>
      <c r="D8" s="1" t="s">
        <v>47</v>
      </c>
      <c r="E8" s="1" t="s">
        <v>48</v>
      </c>
      <c r="F8" s="1" t="s">
        <v>49</v>
      </c>
      <c r="G8" s="1" t="s">
        <v>50</v>
      </c>
      <c r="H8" s="1" t="s">
        <v>51</v>
      </c>
      <c r="I8" s="1" t="s">
        <v>53</v>
      </c>
      <c r="J8" s="1">
        <v>45859.763495370367</v>
      </c>
      <c r="K8" s="1">
        <v>45859.763495370367</v>
      </c>
      <c r="L8" s="1" t="s">
        <v>15</v>
      </c>
      <c r="M8" s="1">
        <v>1</v>
      </c>
      <c r="O8" t="s">
        <v>2975</v>
      </c>
      <c r="P8">
        <v>1.9731915752641291</v>
      </c>
      <c r="R8" s="23" t="s">
        <v>697</v>
      </c>
      <c r="S8">
        <v>1</v>
      </c>
      <c r="W8">
        <v>1</v>
      </c>
      <c r="X8">
        <v>1</v>
      </c>
      <c r="Y8" s="22">
        <v>3</v>
      </c>
      <c r="AA8" s="11" t="s">
        <v>78</v>
      </c>
      <c r="AB8" s="11">
        <v>1</v>
      </c>
      <c r="AD8" s="14" t="s">
        <v>1501</v>
      </c>
      <c r="AE8" s="29">
        <v>5</v>
      </c>
    </row>
    <row r="9" spans="1:31" x14ac:dyDescent="0.3">
      <c r="A9" s="1">
        <v>2025</v>
      </c>
      <c r="B9" s="1" t="s">
        <v>14</v>
      </c>
      <c r="C9" s="1" t="s">
        <v>44</v>
      </c>
      <c r="D9" s="1" t="s">
        <v>326</v>
      </c>
      <c r="E9" s="1" t="s">
        <v>327</v>
      </c>
      <c r="F9" s="1" t="s">
        <v>45</v>
      </c>
      <c r="G9" s="1" t="s">
        <v>328</v>
      </c>
      <c r="H9" s="1" t="s">
        <v>329</v>
      </c>
      <c r="I9" s="1" t="s">
        <v>302</v>
      </c>
      <c r="J9" s="1">
        <v>45859.765474537038</v>
      </c>
      <c r="K9" s="1">
        <v>45859.765474537038</v>
      </c>
      <c r="L9" s="1" t="s">
        <v>15</v>
      </c>
      <c r="M9" s="1">
        <v>1</v>
      </c>
      <c r="O9" t="s">
        <v>2976</v>
      </c>
      <c r="P9">
        <v>2.7488466994940453E-4</v>
      </c>
      <c r="R9" s="23" t="s">
        <v>638</v>
      </c>
      <c r="X9">
        <v>1</v>
      </c>
      <c r="Y9" s="22">
        <v>1</v>
      </c>
      <c r="AA9" s="11" t="s">
        <v>96</v>
      </c>
      <c r="AB9" s="11">
        <v>1</v>
      </c>
      <c r="AD9" s="14" t="s">
        <v>1541</v>
      </c>
      <c r="AE9" s="29">
        <v>5</v>
      </c>
    </row>
    <row r="10" spans="1:31" x14ac:dyDescent="0.3">
      <c r="A10" s="1">
        <v>2023</v>
      </c>
      <c r="B10" s="1" t="s">
        <v>2753</v>
      </c>
      <c r="C10" s="1" t="s">
        <v>2814</v>
      </c>
      <c r="D10" s="1" t="s">
        <v>2815</v>
      </c>
      <c r="E10" s="1" t="s">
        <v>119</v>
      </c>
      <c r="F10" s="1" t="s">
        <v>120</v>
      </c>
      <c r="G10" s="1" t="s">
        <v>696</v>
      </c>
      <c r="H10" s="1" t="s">
        <v>2757</v>
      </c>
      <c r="I10" s="1" t="s">
        <v>2759</v>
      </c>
      <c r="J10" s="1" t="s">
        <v>2702</v>
      </c>
      <c r="K10" s="1" t="str">
        <f>HYPERLINK("https%3A%2F%2Fwww.webofscience.com%2Fwos%2Fwoscc%2Ffull-record%2FWOS:000524291600008","View Full Record in Web of Science")</f>
        <v>View Full Record in Web of Science</v>
      </c>
      <c r="M10">
        <v>1</v>
      </c>
      <c r="O10" t="s">
        <v>2977</v>
      </c>
      <c r="P10">
        <v>-0.92895094750454243</v>
      </c>
      <c r="R10" s="23" t="s">
        <v>714</v>
      </c>
      <c r="S10">
        <v>10</v>
      </c>
      <c r="T10">
        <v>10</v>
      </c>
      <c r="U10">
        <v>16</v>
      </c>
      <c r="V10">
        <v>9</v>
      </c>
      <c r="W10">
        <v>65</v>
      </c>
      <c r="X10">
        <v>24</v>
      </c>
      <c r="Y10" s="22">
        <v>134</v>
      </c>
      <c r="AA10" s="11" t="s">
        <v>46</v>
      </c>
      <c r="AB10" s="11">
        <v>1</v>
      </c>
      <c r="AD10" s="14" t="s">
        <v>715</v>
      </c>
      <c r="AE10" s="29">
        <v>80</v>
      </c>
    </row>
    <row r="11" spans="1:31" x14ac:dyDescent="0.3">
      <c r="A11" s="1">
        <v>2023</v>
      </c>
      <c r="B11" s="1" t="s">
        <v>714</v>
      </c>
      <c r="C11" s="1" t="s">
        <v>770</v>
      </c>
      <c r="D11" s="1" t="s">
        <v>948</v>
      </c>
      <c r="E11" s="1" t="s">
        <v>950</v>
      </c>
      <c r="F11" s="1" t="s">
        <v>949</v>
      </c>
      <c r="G11" s="1" t="s">
        <v>771</v>
      </c>
      <c r="H11" s="1" t="s">
        <v>772</v>
      </c>
      <c r="I11" s="1">
        <v>43891</v>
      </c>
      <c r="J11" s="1">
        <v>45865.394490740742</v>
      </c>
      <c r="K11" s="1">
        <v>45865.394490740742</v>
      </c>
      <c r="L11" s="1" t="s">
        <v>774</v>
      </c>
      <c r="M11" s="1">
        <v>1</v>
      </c>
      <c r="O11" t="s">
        <v>2978</v>
      </c>
      <c r="P11">
        <v>5</v>
      </c>
      <c r="R11" s="23" t="s">
        <v>1503</v>
      </c>
      <c r="S11">
        <v>6</v>
      </c>
      <c r="T11">
        <v>8</v>
      </c>
      <c r="U11">
        <v>20</v>
      </c>
      <c r="V11">
        <v>20</v>
      </c>
      <c r="W11">
        <v>53</v>
      </c>
      <c r="X11">
        <v>32</v>
      </c>
      <c r="Y11" s="22">
        <v>139</v>
      </c>
      <c r="AA11" s="11" t="s">
        <v>44</v>
      </c>
      <c r="AB11" s="11">
        <v>1</v>
      </c>
      <c r="AD11" s="14" t="s">
        <v>2782</v>
      </c>
      <c r="AE11" s="29">
        <v>6</v>
      </c>
    </row>
    <row r="12" spans="1:31" x14ac:dyDescent="0.3">
      <c r="A12" s="1">
        <v>2025</v>
      </c>
      <c r="B12" s="1" t="s">
        <v>714</v>
      </c>
      <c r="C12" s="1" t="s">
        <v>770</v>
      </c>
      <c r="D12" s="1" t="s">
        <v>715</v>
      </c>
      <c r="E12" s="1" t="s">
        <v>1422</v>
      </c>
      <c r="F12" s="1" t="s">
        <v>1421</v>
      </c>
      <c r="G12" s="1" t="s">
        <v>771</v>
      </c>
      <c r="H12" s="1" t="s">
        <v>1258</v>
      </c>
      <c r="I12" s="1">
        <v>45383</v>
      </c>
      <c r="J12" s="1">
        <v>45865.38480324074</v>
      </c>
      <c r="K12" s="1">
        <v>45865.38480324074</v>
      </c>
      <c r="L12" s="1" t="s">
        <v>1260</v>
      </c>
      <c r="M12" s="1">
        <v>1</v>
      </c>
      <c r="O12" t="s">
        <v>2979</v>
      </c>
      <c r="P12">
        <v>2020</v>
      </c>
      <c r="R12" s="23" t="s">
        <v>2753</v>
      </c>
      <c r="S12">
        <v>2</v>
      </c>
      <c r="T12">
        <v>4</v>
      </c>
      <c r="U12">
        <v>5</v>
      </c>
      <c r="V12">
        <v>13</v>
      </c>
      <c r="W12">
        <v>23</v>
      </c>
      <c r="X12">
        <v>7</v>
      </c>
      <c r="Y12" s="22">
        <v>54</v>
      </c>
      <c r="AA12" s="11" t="s">
        <v>2814</v>
      </c>
      <c r="AB12" s="11">
        <v>1</v>
      </c>
      <c r="AD12" s="14" t="s">
        <v>439</v>
      </c>
      <c r="AE12" s="29">
        <v>9</v>
      </c>
    </row>
    <row r="13" spans="1:31" x14ac:dyDescent="0.3">
      <c r="A13" s="1">
        <v>2024</v>
      </c>
      <c r="B13" s="1" t="s">
        <v>714</v>
      </c>
      <c r="C13" s="1" t="s">
        <v>770</v>
      </c>
      <c r="D13" s="1" t="s">
        <v>724</v>
      </c>
      <c r="E13" s="1" t="s">
        <v>1119</v>
      </c>
      <c r="F13" s="1" t="s">
        <v>1118</v>
      </c>
      <c r="G13" s="1" t="s">
        <v>771</v>
      </c>
      <c r="H13" s="1" t="s">
        <v>1382</v>
      </c>
      <c r="I13" s="1">
        <v>45839</v>
      </c>
      <c r="J13" s="1">
        <v>45865.374305555553</v>
      </c>
      <c r="K13" s="1">
        <v>45865.374305555553</v>
      </c>
      <c r="L13" s="1" t="s">
        <v>1384</v>
      </c>
      <c r="M13" s="1">
        <v>1</v>
      </c>
      <c r="O13" t="s">
        <v>2980</v>
      </c>
      <c r="P13">
        <v>2025</v>
      </c>
      <c r="R13" s="24" t="s">
        <v>2986</v>
      </c>
      <c r="S13" s="25">
        <v>21</v>
      </c>
      <c r="T13" s="25">
        <v>26</v>
      </c>
      <c r="U13" s="25">
        <v>48</v>
      </c>
      <c r="V13" s="25">
        <v>49</v>
      </c>
      <c r="W13" s="25">
        <v>161</v>
      </c>
      <c r="X13" s="25">
        <v>81</v>
      </c>
      <c r="Y13" s="26">
        <v>386</v>
      </c>
      <c r="AA13" s="12" t="s">
        <v>770</v>
      </c>
      <c r="AB13" s="12">
        <v>8</v>
      </c>
      <c r="AD13" s="14" t="s">
        <v>455</v>
      </c>
      <c r="AE13" s="29">
        <v>9</v>
      </c>
    </row>
    <row r="14" spans="1:31" x14ac:dyDescent="0.3">
      <c r="A14" s="1">
        <v>2020</v>
      </c>
      <c r="B14" s="1" t="s">
        <v>714</v>
      </c>
      <c r="C14" s="1" t="s">
        <v>770</v>
      </c>
      <c r="D14" s="1" t="s">
        <v>730</v>
      </c>
      <c r="E14" s="1" t="s">
        <v>740</v>
      </c>
      <c r="F14" s="1" t="s">
        <v>739</v>
      </c>
      <c r="G14" s="1" t="s">
        <v>771</v>
      </c>
      <c r="H14" s="1" t="s">
        <v>1405</v>
      </c>
      <c r="I14" s="1">
        <v>45962</v>
      </c>
      <c r="J14" s="1">
        <v>45865.374305555553</v>
      </c>
      <c r="K14" s="1">
        <v>45865.374305555553</v>
      </c>
      <c r="L14" s="1" t="s">
        <v>1407</v>
      </c>
      <c r="M14" s="1">
        <v>1</v>
      </c>
      <c r="O14" t="s">
        <v>2981</v>
      </c>
      <c r="P14">
        <v>781038</v>
      </c>
      <c r="AA14" s="11" t="s">
        <v>704</v>
      </c>
      <c r="AB14" s="11">
        <v>2</v>
      </c>
      <c r="AD14" s="14" t="s">
        <v>353</v>
      </c>
      <c r="AE14" s="29">
        <v>10</v>
      </c>
    </row>
    <row r="15" spans="1:31" x14ac:dyDescent="0.3">
      <c r="A15" s="1">
        <v>2024</v>
      </c>
      <c r="B15" s="1" t="s">
        <v>714</v>
      </c>
      <c r="C15" s="1" t="s">
        <v>770</v>
      </c>
      <c r="D15" s="1" t="s">
        <v>778</v>
      </c>
      <c r="E15" s="1" t="s">
        <v>1184</v>
      </c>
      <c r="F15" s="1" t="s">
        <v>1183</v>
      </c>
      <c r="G15" s="1" t="s">
        <v>771</v>
      </c>
      <c r="H15" s="1" t="s">
        <v>1459</v>
      </c>
      <c r="I15" s="1">
        <v>45962</v>
      </c>
      <c r="J15" s="1">
        <v>45865.38480324074</v>
      </c>
      <c r="K15" s="1">
        <v>45865.38480324074</v>
      </c>
      <c r="L15" s="1" t="s">
        <v>1461</v>
      </c>
      <c r="M15" s="1">
        <v>1</v>
      </c>
      <c r="O15" t="s">
        <v>2982</v>
      </c>
      <c r="P15">
        <v>386</v>
      </c>
      <c r="R15" s="1" t="s">
        <v>2989</v>
      </c>
      <c r="AA15" s="11" t="s">
        <v>1753</v>
      </c>
      <c r="AB15" s="11">
        <v>2</v>
      </c>
      <c r="AD15" s="14" t="s">
        <v>385</v>
      </c>
      <c r="AE15" s="29">
        <v>5</v>
      </c>
    </row>
    <row r="16" spans="1:31" x14ac:dyDescent="0.3">
      <c r="A16" s="1">
        <v>2025</v>
      </c>
      <c r="B16" s="1" t="s">
        <v>1503</v>
      </c>
      <c r="C16" s="1" t="s">
        <v>770</v>
      </c>
      <c r="D16" s="1" t="s">
        <v>1381</v>
      </c>
      <c r="E16" s="1" t="s">
        <v>1617</v>
      </c>
      <c r="F16" s="1" t="s">
        <v>1615</v>
      </c>
      <c r="G16" s="1" t="s">
        <v>1616</v>
      </c>
      <c r="H16" s="1">
        <v>1</v>
      </c>
      <c r="I16" s="1" t="s">
        <v>1382</v>
      </c>
      <c r="J16" s="1" t="s">
        <v>1618</v>
      </c>
      <c r="K16" s="1" t="s">
        <v>1619</v>
      </c>
      <c r="L16" s="1" t="s">
        <v>1502</v>
      </c>
      <c r="M16" s="1">
        <v>1</v>
      </c>
      <c r="O16" t="s">
        <v>2983</v>
      </c>
      <c r="P16">
        <v>2025</v>
      </c>
      <c r="AA16" s="11" t="s">
        <v>751</v>
      </c>
      <c r="AB16" s="11">
        <v>3</v>
      </c>
      <c r="AD16" s="14" t="s">
        <v>377</v>
      </c>
      <c r="AE16" s="29">
        <v>14</v>
      </c>
    </row>
    <row r="17" spans="1:31" ht="15" thickBot="1" x14ac:dyDescent="0.35">
      <c r="A17" s="1">
        <v>2025</v>
      </c>
      <c r="B17" s="1" t="s">
        <v>1503</v>
      </c>
      <c r="C17" s="1" t="s">
        <v>770</v>
      </c>
      <c r="D17" s="1" t="s">
        <v>1625</v>
      </c>
      <c r="E17" s="1" t="s">
        <v>1627</v>
      </c>
      <c r="F17" s="1" t="s">
        <v>1623</v>
      </c>
      <c r="G17" s="1" t="s">
        <v>1624</v>
      </c>
      <c r="H17" s="1">
        <v>0</v>
      </c>
      <c r="I17" s="1" t="s">
        <v>1626</v>
      </c>
      <c r="J17" s="1" t="s">
        <v>1628</v>
      </c>
      <c r="K17" s="1" t="s">
        <v>1629</v>
      </c>
      <c r="L17" s="1" t="s">
        <v>1502</v>
      </c>
      <c r="M17" s="1">
        <v>1</v>
      </c>
      <c r="O17" s="6" t="s">
        <v>2984</v>
      </c>
      <c r="P17" s="6">
        <v>2020</v>
      </c>
      <c r="AA17" s="11" t="s">
        <v>1721</v>
      </c>
      <c r="AB17" s="11">
        <v>1</v>
      </c>
      <c r="AD17" s="14" t="s">
        <v>414</v>
      </c>
      <c r="AE17" s="29">
        <v>6</v>
      </c>
    </row>
    <row r="18" spans="1:31" x14ac:dyDescent="0.3">
      <c r="A18" s="1">
        <v>2025</v>
      </c>
      <c r="B18" s="1" t="s">
        <v>1503</v>
      </c>
      <c r="C18" s="1" t="s">
        <v>770</v>
      </c>
      <c r="D18" s="1" t="s">
        <v>1650</v>
      </c>
      <c r="E18" s="1" t="s">
        <v>1652</v>
      </c>
      <c r="F18" s="1" t="s">
        <v>1648</v>
      </c>
      <c r="G18" s="1" t="s">
        <v>1649</v>
      </c>
      <c r="H18" s="1">
        <v>0</v>
      </c>
      <c r="I18" s="1" t="s">
        <v>1651</v>
      </c>
      <c r="J18" s="1" t="s">
        <v>1653</v>
      </c>
      <c r="K18" s="1" t="s">
        <v>1654</v>
      </c>
      <c r="L18" s="1" t="s">
        <v>1502</v>
      </c>
      <c r="M18" s="1">
        <v>1</v>
      </c>
      <c r="P18">
        <v>1</v>
      </c>
      <c r="AA18" s="11" t="s">
        <v>1246</v>
      </c>
      <c r="AB18" s="11">
        <v>1</v>
      </c>
      <c r="AD18" s="14" t="s">
        <v>724</v>
      </c>
      <c r="AE18" s="29">
        <v>8</v>
      </c>
    </row>
    <row r="19" spans="1:31" x14ac:dyDescent="0.3">
      <c r="A19" s="1">
        <v>2024</v>
      </c>
      <c r="B19" s="1" t="s">
        <v>697</v>
      </c>
      <c r="C19" s="1" t="s">
        <v>704</v>
      </c>
      <c r="D19" s="1" t="s">
        <v>702</v>
      </c>
      <c r="E19" s="1" t="s">
        <v>703</v>
      </c>
      <c r="F19" s="1">
        <v>2024</v>
      </c>
      <c r="G19" s="1"/>
      <c r="H19" s="1"/>
      <c r="I19" s="1"/>
      <c r="J19" s="1"/>
      <c r="K19" s="5" t="str">
        <f>HYPERLINK("https%3A%2F%2Fwww.webofscience.com%2Fwos%2Fwoscc%2Ffull-record%2FWOS:000524291600008","View Full Record in Web of Science")</f>
        <v>View Full Record in Web of Science</v>
      </c>
      <c r="L19" s="1"/>
      <c r="M19" s="1">
        <v>1</v>
      </c>
      <c r="AA19" s="11" t="s">
        <v>1942</v>
      </c>
      <c r="AB19" s="11">
        <v>1</v>
      </c>
      <c r="AD19" s="14" t="s">
        <v>1524</v>
      </c>
      <c r="AE19" s="29">
        <v>6</v>
      </c>
    </row>
    <row r="20" spans="1:31" x14ac:dyDescent="0.3">
      <c r="A20" s="1">
        <v>2024</v>
      </c>
      <c r="B20" s="1" t="s">
        <v>1503</v>
      </c>
      <c r="C20" s="1" t="s">
        <v>704</v>
      </c>
      <c r="D20" s="1" t="s">
        <v>703</v>
      </c>
      <c r="E20" s="1" t="s">
        <v>1849</v>
      </c>
      <c r="F20" s="1" t="s">
        <v>1846</v>
      </c>
      <c r="G20" s="1" t="s">
        <v>1847</v>
      </c>
      <c r="H20" s="1">
        <v>2</v>
      </c>
      <c r="I20" s="1" t="s">
        <v>1848</v>
      </c>
      <c r="J20" s="1" t="s">
        <v>1850</v>
      </c>
      <c r="K20" s="1" t="s">
        <v>1851</v>
      </c>
      <c r="L20" s="1" t="s">
        <v>1502</v>
      </c>
      <c r="M20" s="1">
        <v>1</v>
      </c>
      <c r="AA20" s="12" t="s">
        <v>1514</v>
      </c>
      <c r="AB20" s="12">
        <v>10</v>
      </c>
      <c r="AD20" s="14" t="s">
        <v>730</v>
      </c>
      <c r="AE20" s="29">
        <v>13</v>
      </c>
    </row>
    <row r="21" spans="1:31" x14ac:dyDescent="0.3">
      <c r="A21" s="1">
        <v>2022</v>
      </c>
      <c r="B21" s="1" t="s">
        <v>1503</v>
      </c>
      <c r="C21" s="1" t="s">
        <v>1753</v>
      </c>
      <c r="D21" s="1" t="s">
        <v>2499</v>
      </c>
      <c r="E21" s="1" t="s">
        <v>2501</v>
      </c>
      <c r="F21" s="1" t="s">
        <v>2498</v>
      </c>
      <c r="G21" s="1">
        <v>7102901664</v>
      </c>
      <c r="H21" s="1">
        <v>6</v>
      </c>
      <c r="I21" s="1" t="s">
        <v>2500</v>
      </c>
      <c r="J21" s="1" t="s">
        <v>2502</v>
      </c>
      <c r="K21" s="5" t="str">
        <f>HYPERLINK("https%3A%2F%2Fwww.webofscience.com%2Fwos%2Fwoscc%2Ffull-record%2FWOS:000524291600008","View Full Record in Web of Science")</f>
        <v>View Full Record in Web of Science</v>
      </c>
      <c r="L21" s="1" t="s">
        <v>1502</v>
      </c>
      <c r="M21" s="1">
        <v>1</v>
      </c>
      <c r="AA21" s="11" t="s">
        <v>2855</v>
      </c>
      <c r="AB21" s="11">
        <v>1</v>
      </c>
      <c r="AD21" s="14" t="s">
        <v>793</v>
      </c>
      <c r="AE21" s="29">
        <v>7</v>
      </c>
    </row>
    <row r="22" spans="1:31" x14ac:dyDescent="0.3">
      <c r="A22" s="1">
        <v>2024</v>
      </c>
      <c r="B22" s="1" t="s">
        <v>1503</v>
      </c>
      <c r="C22" s="1" t="s">
        <v>1753</v>
      </c>
      <c r="D22" s="1" t="s">
        <v>2089</v>
      </c>
      <c r="E22" s="1" t="s">
        <v>2091</v>
      </c>
      <c r="F22" s="1" t="s">
        <v>2087</v>
      </c>
      <c r="G22" s="1" t="s">
        <v>2088</v>
      </c>
      <c r="H22" s="1">
        <v>6</v>
      </c>
      <c r="I22" s="1" t="s">
        <v>2090</v>
      </c>
      <c r="J22" s="1" t="s">
        <v>2092</v>
      </c>
      <c r="K22" s="5" t="str">
        <f>HYPERLINK("https%3A%2F%2Fwww.webofscience.com%2Fwos%2Fwoscc%2Ffull-record%2FWOS:000524291600008","View Full Record in Web of Science")</f>
        <v>View Full Record in Web of Science</v>
      </c>
      <c r="L22" s="1" t="s">
        <v>1502</v>
      </c>
      <c r="M22" s="1">
        <v>1</v>
      </c>
      <c r="AA22" s="11" t="s">
        <v>1081</v>
      </c>
      <c r="AB22" s="11">
        <v>1</v>
      </c>
      <c r="AD22" s="14" t="s">
        <v>1578</v>
      </c>
      <c r="AE22" s="29">
        <v>6</v>
      </c>
    </row>
    <row r="23" spans="1:31" ht="15" thickBot="1" x14ac:dyDescent="0.35">
      <c r="A23" s="1">
        <v>2024</v>
      </c>
      <c r="B23" s="1" t="s">
        <v>714</v>
      </c>
      <c r="C23" s="1" t="s">
        <v>751</v>
      </c>
      <c r="D23" s="1" t="s">
        <v>715</v>
      </c>
      <c r="E23" s="1" t="s">
        <v>1102</v>
      </c>
      <c r="F23" s="1" t="s">
        <v>248</v>
      </c>
      <c r="G23" s="1" t="s">
        <v>754</v>
      </c>
      <c r="H23" s="1" t="s">
        <v>1073</v>
      </c>
      <c r="I23" s="1">
        <v>45292</v>
      </c>
      <c r="J23" s="1">
        <v>45865.374305555553</v>
      </c>
      <c r="K23" s="1">
        <v>45865.374305555553</v>
      </c>
      <c r="L23" s="1" t="s">
        <v>1075</v>
      </c>
      <c r="M23" s="1">
        <v>1</v>
      </c>
      <c r="AA23" s="11" t="s">
        <v>726</v>
      </c>
      <c r="AB23" s="11">
        <v>2</v>
      </c>
      <c r="AD23" s="15" t="s">
        <v>1621</v>
      </c>
      <c r="AE23" s="30">
        <v>5</v>
      </c>
    </row>
    <row r="24" spans="1:31" x14ac:dyDescent="0.3">
      <c r="A24" s="1">
        <v>2024</v>
      </c>
      <c r="B24" s="1" t="s">
        <v>714</v>
      </c>
      <c r="C24" s="1" t="s">
        <v>751</v>
      </c>
      <c r="D24" s="1" t="s">
        <v>715</v>
      </c>
      <c r="E24" s="1" t="s">
        <v>1300</v>
      </c>
      <c r="F24" s="1" t="s">
        <v>1299</v>
      </c>
      <c r="G24" s="1" t="s">
        <v>754</v>
      </c>
      <c r="H24" s="1" t="s">
        <v>1205</v>
      </c>
      <c r="I24" s="1">
        <v>45323</v>
      </c>
      <c r="J24" s="1">
        <v>45865.374305555553</v>
      </c>
      <c r="K24" s="1">
        <v>45865.374305555553</v>
      </c>
      <c r="L24" s="1" t="s">
        <v>1207</v>
      </c>
      <c r="M24" s="1">
        <v>1</v>
      </c>
      <c r="AA24" s="12" t="s">
        <v>755</v>
      </c>
      <c r="AB24" s="12">
        <v>11</v>
      </c>
    </row>
    <row r="25" spans="1:31" x14ac:dyDescent="0.3">
      <c r="A25" s="1">
        <v>2024</v>
      </c>
      <c r="B25" s="1" t="s">
        <v>1503</v>
      </c>
      <c r="C25" s="1" t="s">
        <v>751</v>
      </c>
      <c r="D25" s="1" t="s">
        <v>1204</v>
      </c>
      <c r="E25" s="1" t="s">
        <v>2146</v>
      </c>
      <c r="F25" s="1" t="s">
        <v>2144</v>
      </c>
      <c r="G25" s="1" t="s">
        <v>2145</v>
      </c>
      <c r="H25" s="1">
        <v>10</v>
      </c>
      <c r="I25" s="1" t="s">
        <v>1205</v>
      </c>
      <c r="J25" s="1" t="s">
        <v>2147</v>
      </c>
      <c r="K25" s="1" t="s">
        <v>2148</v>
      </c>
      <c r="L25" s="1" t="s">
        <v>1502</v>
      </c>
      <c r="M25" s="1">
        <v>1</v>
      </c>
      <c r="AA25" s="11" t="s">
        <v>695</v>
      </c>
      <c r="AB25" s="11">
        <v>4</v>
      </c>
    </row>
    <row r="26" spans="1:31" x14ac:dyDescent="0.3">
      <c r="A26" s="1">
        <v>2025</v>
      </c>
      <c r="B26" s="1" t="s">
        <v>1503</v>
      </c>
      <c r="C26" s="1" t="s">
        <v>1721</v>
      </c>
      <c r="D26" s="1" t="s">
        <v>1720</v>
      </c>
      <c r="E26" s="1" t="s">
        <v>1723</v>
      </c>
      <c r="F26" s="1" t="s">
        <v>1718</v>
      </c>
      <c r="G26" s="1" t="s">
        <v>1719</v>
      </c>
      <c r="H26" s="1">
        <v>0</v>
      </c>
      <c r="I26" s="1" t="s">
        <v>1722</v>
      </c>
      <c r="J26" s="1" t="s">
        <v>1724</v>
      </c>
      <c r="K26" s="1" t="s">
        <v>1725</v>
      </c>
      <c r="L26" s="1" t="s">
        <v>1502</v>
      </c>
      <c r="M26" s="1">
        <v>1</v>
      </c>
      <c r="AA26" s="11" t="s">
        <v>2886</v>
      </c>
      <c r="AB26" s="11">
        <v>1</v>
      </c>
    </row>
    <row r="27" spans="1:31" x14ac:dyDescent="0.3">
      <c r="A27" s="1">
        <v>2025</v>
      </c>
      <c r="B27" s="1" t="s">
        <v>714</v>
      </c>
      <c r="C27" s="1" t="s">
        <v>1246</v>
      </c>
      <c r="D27" s="1" t="s">
        <v>715</v>
      </c>
      <c r="E27" s="1" t="s">
        <v>1357</v>
      </c>
      <c r="F27" s="1" t="s">
        <v>1356</v>
      </c>
      <c r="G27" s="1" t="s">
        <v>1249</v>
      </c>
      <c r="H27" s="1" t="s">
        <v>1250</v>
      </c>
      <c r="I27" s="1">
        <v>45292</v>
      </c>
      <c r="J27" s="1">
        <v>45865.38480324074</v>
      </c>
      <c r="K27" s="1">
        <v>45865.38480324074</v>
      </c>
      <c r="L27" s="1" t="s">
        <v>1252</v>
      </c>
      <c r="M27" s="1">
        <v>1</v>
      </c>
      <c r="AA27" s="11" t="s">
        <v>722</v>
      </c>
      <c r="AB27" s="11">
        <v>3</v>
      </c>
    </row>
    <row r="28" spans="1:31" x14ac:dyDescent="0.3">
      <c r="A28" s="1">
        <v>2024</v>
      </c>
      <c r="B28" s="1" t="s">
        <v>1503</v>
      </c>
      <c r="C28" s="1" t="s">
        <v>1942</v>
      </c>
      <c r="D28" s="1" t="s">
        <v>1941</v>
      </c>
      <c r="E28" s="1" t="s">
        <v>1944</v>
      </c>
      <c r="F28" s="1" t="s">
        <v>1939</v>
      </c>
      <c r="G28" s="1" t="s">
        <v>1940</v>
      </c>
      <c r="H28" s="1">
        <v>1</v>
      </c>
      <c r="I28" s="1" t="s">
        <v>1943</v>
      </c>
      <c r="J28" s="1" t="s">
        <v>1945</v>
      </c>
      <c r="K28" s="5" t="str">
        <f>HYPERLINK("https%3A%2F%2Fwww.webofscience.com%2Fwos%2Fwoscc%2Ffull-record%2FWOS:000524291600008","View Full Record in Web of Science")</f>
        <v>View Full Record in Web of Science</v>
      </c>
      <c r="L28" s="1" t="s">
        <v>1502</v>
      </c>
      <c r="M28" s="1">
        <v>1</v>
      </c>
      <c r="AA28" s="12" t="s">
        <v>880</v>
      </c>
      <c r="AB28" s="12">
        <v>6</v>
      </c>
    </row>
    <row r="29" spans="1:31" x14ac:dyDescent="0.3">
      <c r="A29" s="1">
        <v>2021</v>
      </c>
      <c r="B29" s="1" t="s">
        <v>1503</v>
      </c>
      <c r="C29" s="1" t="s">
        <v>1514</v>
      </c>
      <c r="D29" s="1" t="s">
        <v>2584</v>
      </c>
      <c r="E29" s="1" t="s">
        <v>2586</v>
      </c>
      <c r="F29" s="1" t="s">
        <v>2582</v>
      </c>
      <c r="G29" s="1" t="s">
        <v>2583</v>
      </c>
      <c r="H29" s="1">
        <v>3</v>
      </c>
      <c r="I29" s="1" t="s">
        <v>2585</v>
      </c>
      <c r="J29" s="1" t="s">
        <v>2587</v>
      </c>
      <c r="K29" s="1" t="s">
        <v>2588</v>
      </c>
      <c r="L29" s="1" t="s">
        <v>1502</v>
      </c>
      <c r="M29" s="1">
        <v>1</v>
      </c>
      <c r="AA29" s="11" t="s">
        <v>1411</v>
      </c>
      <c r="AB29" s="11">
        <v>1</v>
      </c>
    </row>
    <row r="30" spans="1:31" x14ac:dyDescent="0.3">
      <c r="A30" s="1">
        <v>2022</v>
      </c>
      <c r="B30" s="1" t="s">
        <v>1503</v>
      </c>
      <c r="C30" s="1" t="s">
        <v>1514</v>
      </c>
      <c r="D30" s="1" t="s">
        <v>2533</v>
      </c>
      <c r="E30" s="1" t="s">
        <v>2535</v>
      </c>
      <c r="F30" s="1" t="s">
        <v>2531</v>
      </c>
      <c r="G30" s="1" t="s">
        <v>2532</v>
      </c>
      <c r="H30" s="1">
        <v>8</v>
      </c>
      <c r="I30" s="1" t="s">
        <v>2534</v>
      </c>
      <c r="J30" s="1" t="s">
        <v>2536</v>
      </c>
      <c r="K30" s="1" t="s">
        <v>2537</v>
      </c>
      <c r="L30" s="1" t="s">
        <v>1502</v>
      </c>
      <c r="M30" s="1">
        <v>1</v>
      </c>
      <c r="AA30" s="11" t="s">
        <v>910</v>
      </c>
      <c r="AB30" s="11">
        <v>1</v>
      </c>
    </row>
    <row r="31" spans="1:31" x14ac:dyDescent="0.3">
      <c r="A31" s="1">
        <v>2023</v>
      </c>
      <c r="B31" s="1" t="s">
        <v>1503</v>
      </c>
      <c r="C31" s="1" t="s">
        <v>1514</v>
      </c>
      <c r="D31" s="1" t="s">
        <v>2361</v>
      </c>
      <c r="E31" s="1" t="s">
        <v>2363</v>
      </c>
      <c r="F31" s="1" t="s">
        <v>2359</v>
      </c>
      <c r="G31" s="1" t="s">
        <v>2360</v>
      </c>
      <c r="H31" s="1">
        <v>24</v>
      </c>
      <c r="I31" s="1" t="s">
        <v>2362</v>
      </c>
      <c r="J31" s="1" t="s">
        <v>2364</v>
      </c>
      <c r="K31" s="1" t="s">
        <v>2365</v>
      </c>
      <c r="L31" s="1" t="s">
        <v>1502</v>
      </c>
      <c r="M31" s="1">
        <v>1</v>
      </c>
      <c r="AA31" s="12" t="s">
        <v>1501</v>
      </c>
      <c r="AB31" s="12">
        <v>5</v>
      </c>
    </row>
    <row r="32" spans="1:31" x14ac:dyDescent="0.3">
      <c r="A32" s="1">
        <v>2023</v>
      </c>
      <c r="B32" s="1" t="s">
        <v>1503</v>
      </c>
      <c r="C32" s="1" t="s">
        <v>1514</v>
      </c>
      <c r="D32" s="1" t="s">
        <v>2419</v>
      </c>
      <c r="E32" s="1" t="s">
        <v>2421</v>
      </c>
      <c r="F32" s="1" t="s">
        <v>2418</v>
      </c>
      <c r="G32" s="1">
        <v>36141776800</v>
      </c>
      <c r="H32" s="1">
        <v>6</v>
      </c>
      <c r="I32" s="1" t="s">
        <v>2420</v>
      </c>
      <c r="J32" s="1" t="s">
        <v>2422</v>
      </c>
      <c r="K32" s="1" t="s">
        <v>2423</v>
      </c>
      <c r="L32" s="1" t="s">
        <v>1502</v>
      </c>
      <c r="M32" s="1">
        <v>1</v>
      </c>
      <c r="AA32" s="11" t="s">
        <v>1504</v>
      </c>
      <c r="AB32" s="11">
        <v>3</v>
      </c>
    </row>
    <row r="33" spans="1:28" x14ac:dyDescent="0.3">
      <c r="A33" s="1">
        <v>2024</v>
      </c>
      <c r="B33" s="1" t="s">
        <v>1503</v>
      </c>
      <c r="C33" s="1" t="s">
        <v>1514</v>
      </c>
      <c r="D33" s="1" t="s">
        <v>1922</v>
      </c>
      <c r="E33" s="1" t="s">
        <v>1924</v>
      </c>
      <c r="F33" s="1" t="s">
        <v>1920</v>
      </c>
      <c r="G33" s="1" t="s">
        <v>1921</v>
      </c>
      <c r="H33" s="1">
        <v>39</v>
      </c>
      <c r="I33" s="1" t="s">
        <v>1923</v>
      </c>
      <c r="J33" s="1" t="s">
        <v>1925</v>
      </c>
      <c r="K33" s="1" t="s">
        <v>1926</v>
      </c>
      <c r="L33" s="1" t="s">
        <v>1502</v>
      </c>
      <c r="M33" s="1">
        <v>1</v>
      </c>
      <c r="AA33" s="11" t="s">
        <v>2825</v>
      </c>
      <c r="AB33" s="11">
        <v>1</v>
      </c>
    </row>
    <row r="34" spans="1:28" x14ac:dyDescent="0.3">
      <c r="A34" s="1">
        <v>2024</v>
      </c>
      <c r="B34" s="1" t="s">
        <v>1503</v>
      </c>
      <c r="C34" s="1" t="s">
        <v>1514</v>
      </c>
      <c r="D34" s="1" t="s">
        <v>1950</v>
      </c>
      <c r="E34" s="1" t="s">
        <v>1952</v>
      </c>
      <c r="F34" s="1" t="s">
        <v>1948</v>
      </c>
      <c r="G34" s="1" t="s">
        <v>1949</v>
      </c>
      <c r="H34" s="1">
        <v>6</v>
      </c>
      <c r="I34" s="1" t="s">
        <v>1951</v>
      </c>
      <c r="J34" s="1" t="s">
        <v>1953</v>
      </c>
      <c r="K34" s="1" t="s">
        <v>1954</v>
      </c>
      <c r="L34" s="1" t="s">
        <v>1502</v>
      </c>
      <c r="M34" s="1">
        <v>1</v>
      </c>
      <c r="AA34" s="11" t="s">
        <v>783</v>
      </c>
      <c r="AB34" s="11">
        <v>1</v>
      </c>
    </row>
    <row r="35" spans="1:28" x14ac:dyDescent="0.3">
      <c r="A35" s="1">
        <v>2024</v>
      </c>
      <c r="B35" s="1" t="s">
        <v>1503</v>
      </c>
      <c r="C35" s="1" t="s">
        <v>1514</v>
      </c>
      <c r="D35" s="1" t="s">
        <v>2106</v>
      </c>
      <c r="E35" s="1" t="s">
        <v>2108</v>
      </c>
      <c r="F35" s="1" t="s">
        <v>2104</v>
      </c>
      <c r="G35" s="1" t="s">
        <v>2105</v>
      </c>
      <c r="H35" s="1">
        <v>12</v>
      </c>
      <c r="I35" s="1" t="s">
        <v>2107</v>
      </c>
      <c r="J35" s="1" t="s">
        <v>2109</v>
      </c>
      <c r="K35" s="1" t="s">
        <v>2110</v>
      </c>
      <c r="L35" s="1" t="s">
        <v>1502</v>
      </c>
      <c r="M35" s="1">
        <v>1</v>
      </c>
      <c r="AA35" s="11" t="s">
        <v>1010</v>
      </c>
      <c r="AB35" s="11">
        <v>1</v>
      </c>
    </row>
    <row r="36" spans="1:28" x14ac:dyDescent="0.3">
      <c r="A36" s="1">
        <v>2025</v>
      </c>
      <c r="B36" s="1" t="s">
        <v>1503</v>
      </c>
      <c r="C36" s="1" t="s">
        <v>1514</v>
      </c>
      <c r="D36" s="1" t="s">
        <v>1569</v>
      </c>
      <c r="E36" s="1" t="s">
        <v>1571</v>
      </c>
      <c r="F36" s="1" t="s">
        <v>1567</v>
      </c>
      <c r="G36" s="1" t="s">
        <v>1568</v>
      </c>
      <c r="H36" s="1">
        <v>0</v>
      </c>
      <c r="I36" s="1" t="s">
        <v>1570</v>
      </c>
      <c r="J36" s="1" t="s">
        <v>1572</v>
      </c>
      <c r="K36" s="1" t="s">
        <v>1573</v>
      </c>
      <c r="L36" s="1" t="s">
        <v>1502</v>
      </c>
      <c r="M36" s="1">
        <v>1</v>
      </c>
      <c r="AA36" s="12" t="s">
        <v>1541</v>
      </c>
      <c r="AB36" s="12">
        <v>5</v>
      </c>
    </row>
    <row r="37" spans="1:28" x14ac:dyDescent="0.3">
      <c r="A37" s="1">
        <v>2025</v>
      </c>
      <c r="B37" s="1" t="s">
        <v>1503</v>
      </c>
      <c r="C37" s="1" t="s">
        <v>1514</v>
      </c>
      <c r="D37" s="1" t="s">
        <v>1765</v>
      </c>
      <c r="E37" s="1" t="s">
        <v>1767</v>
      </c>
      <c r="F37" s="1" t="s">
        <v>1763</v>
      </c>
      <c r="G37" s="1" t="s">
        <v>1764</v>
      </c>
      <c r="H37" s="1">
        <v>1</v>
      </c>
      <c r="I37" s="1" t="s">
        <v>1766</v>
      </c>
      <c r="J37" s="1" t="s">
        <v>1768</v>
      </c>
      <c r="K37" s="1" t="s">
        <v>1769</v>
      </c>
      <c r="L37" s="1" t="s">
        <v>1502</v>
      </c>
      <c r="M37" s="1">
        <v>1</v>
      </c>
      <c r="AA37" s="11" t="s">
        <v>1667</v>
      </c>
      <c r="AB37" s="11">
        <v>1</v>
      </c>
    </row>
    <row r="38" spans="1:28" x14ac:dyDescent="0.3">
      <c r="A38" s="1">
        <v>2025</v>
      </c>
      <c r="B38" s="1" t="s">
        <v>1503</v>
      </c>
      <c r="C38" s="1" t="s">
        <v>1514</v>
      </c>
      <c r="D38" s="1" t="s">
        <v>1805</v>
      </c>
      <c r="E38" s="1" t="s">
        <v>1807</v>
      </c>
      <c r="F38" s="1" t="s">
        <v>1803</v>
      </c>
      <c r="G38" s="1" t="s">
        <v>1804</v>
      </c>
      <c r="H38" s="1">
        <v>0</v>
      </c>
      <c r="I38" s="1" t="s">
        <v>1806</v>
      </c>
      <c r="J38" s="1" t="s">
        <v>1808</v>
      </c>
      <c r="K38" s="1" t="s">
        <v>1809</v>
      </c>
      <c r="L38" s="1" t="s">
        <v>1502</v>
      </c>
      <c r="M38" s="1">
        <v>1</v>
      </c>
      <c r="AA38" s="11" t="s">
        <v>827</v>
      </c>
      <c r="AB38" s="11">
        <v>1</v>
      </c>
    </row>
    <row r="39" spans="1:28" x14ac:dyDescent="0.3">
      <c r="A39" s="1">
        <v>2023</v>
      </c>
      <c r="B39" s="1" t="s">
        <v>2753</v>
      </c>
      <c r="C39" s="1" t="s">
        <v>2855</v>
      </c>
      <c r="D39" s="1" t="s">
        <v>2856</v>
      </c>
      <c r="E39" s="1" t="s">
        <v>2857</v>
      </c>
      <c r="F39" s="1" t="s">
        <v>2858</v>
      </c>
      <c r="G39" s="1" t="s">
        <v>2764</v>
      </c>
      <c r="H39" s="1" t="s">
        <v>548</v>
      </c>
      <c r="I39" s="1" t="s">
        <v>2765</v>
      </c>
      <c r="J39" s="1" t="s">
        <v>2766</v>
      </c>
      <c r="K39" s="1" t="str">
        <f>HYPERLINK("https%3A%2F%2Fwww.webofscience.com%2Fwos%2Fwoscc%2Ffull-record%2FWOS:000597226700029","View Full Record in Web of Science")</f>
        <v>View Full Record in Web of Science</v>
      </c>
      <c r="L39" s="1"/>
      <c r="M39" s="1">
        <v>1</v>
      </c>
      <c r="AA39" s="11" t="s">
        <v>1437</v>
      </c>
      <c r="AB39" s="11">
        <v>1</v>
      </c>
    </row>
    <row r="40" spans="1:28" x14ac:dyDescent="0.3">
      <c r="A40" s="1">
        <v>2024</v>
      </c>
      <c r="B40" s="1" t="s">
        <v>714</v>
      </c>
      <c r="C40" s="1" t="s">
        <v>1081</v>
      </c>
      <c r="D40" s="1" t="s">
        <v>715</v>
      </c>
      <c r="E40" s="1" t="s">
        <v>1109</v>
      </c>
      <c r="F40" s="1" t="s">
        <v>1108</v>
      </c>
      <c r="G40" s="1" t="s">
        <v>1084</v>
      </c>
      <c r="H40" s="1" t="s">
        <v>1085</v>
      </c>
      <c r="I40" s="1">
        <v>45320</v>
      </c>
      <c r="J40" s="1">
        <v>45865.374305555553</v>
      </c>
      <c r="K40" s="1">
        <v>45865.374305555553</v>
      </c>
      <c r="L40" s="1" t="s">
        <v>1087</v>
      </c>
      <c r="M40" s="1">
        <v>1</v>
      </c>
      <c r="AA40" s="11" t="s">
        <v>1277</v>
      </c>
      <c r="AB40" s="11">
        <v>1</v>
      </c>
    </row>
    <row r="41" spans="1:28" x14ac:dyDescent="0.3">
      <c r="A41" s="1">
        <v>2020</v>
      </c>
      <c r="B41" s="1" t="s">
        <v>714</v>
      </c>
      <c r="C41" s="1" t="s">
        <v>726</v>
      </c>
      <c r="D41" s="1" t="s">
        <v>724</v>
      </c>
      <c r="E41" s="1" t="s">
        <v>742</v>
      </c>
      <c r="F41" s="1" t="s">
        <v>741</v>
      </c>
      <c r="G41" s="1" t="s">
        <v>727</v>
      </c>
      <c r="H41" s="1" t="s">
        <v>1353</v>
      </c>
      <c r="I41" s="1">
        <v>45863</v>
      </c>
      <c r="J41" s="1">
        <v>45865.374305555553</v>
      </c>
      <c r="K41" s="1">
        <v>45865.374305555553</v>
      </c>
      <c r="L41" s="1" t="s">
        <v>1355</v>
      </c>
      <c r="M41" s="1">
        <v>1</v>
      </c>
      <c r="AA41" s="11" t="s">
        <v>1743</v>
      </c>
      <c r="AB41" s="11">
        <v>1</v>
      </c>
    </row>
    <row r="42" spans="1:28" x14ac:dyDescent="0.3">
      <c r="A42" s="1">
        <v>2025</v>
      </c>
      <c r="B42" s="1" t="s">
        <v>714</v>
      </c>
      <c r="C42" s="1" t="s">
        <v>726</v>
      </c>
      <c r="D42" s="1" t="s">
        <v>994</v>
      </c>
      <c r="E42" s="1" t="s">
        <v>1433</v>
      </c>
      <c r="F42" s="1" t="s">
        <v>1432</v>
      </c>
      <c r="G42" s="1" t="s">
        <v>727</v>
      </c>
      <c r="H42" s="1" t="s">
        <v>1476</v>
      </c>
      <c r="I42" s="1">
        <v>45762</v>
      </c>
      <c r="J42" s="1">
        <v>45865.394490740742</v>
      </c>
      <c r="K42" s="1">
        <v>45865.394490740742</v>
      </c>
      <c r="L42" s="1" t="s">
        <v>1478</v>
      </c>
      <c r="M42" s="1">
        <v>1</v>
      </c>
      <c r="AA42" s="12" t="s">
        <v>715</v>
      </c>
      <c r="AB42" s="12">
        <v>80</v>
      </c>
    </row>
    <row r="43" spans="1:28" x14ac:dyDescent="0.3">
      <c r="A43" s="1">
        <v>2024</v>
      </c>
      <c r="B43" s="1" t="s">
        <v>714</v>
      </c>
      <c r="C43" s="1" t="s">
        <v>755</v>
      </c>
      <c r="D43" s="1" t="s">
        <v>1261</v>
      </c>
      <c r="E43" s="1" t="s">
        <v>1263</v>
      </c>
      <c r="F43" s="1" t="s">
        <v>1262</v>
      </c>
      <c r="G43" s="1" t="s">
        <v>758</v>
      </c>
      <c r="H43" s="1" t="s">
        <v>759</v>
      </c>
      <c r="I43" s="1">
        <v>43959</v>
      </c>
      <c r="J43" s="1">
        <v>45865.384814814817</v>
      </c>
      <c r="K43" s="1">
        <v>45865.384814814817</v>
      </c>
      <c r="L43" s="1" t="s">
        <v>761</v>
      </c>
      <c r="M43" s="1">
        <v>1</v>
      </c>
      <c r="AA43" s="12" t="s">
        <v>2782</v>
      </c>
      <c r="AB43" s="12">
        <v>6</v>
      </c>
    </row>
    <row r="44" spans="1:28" x14ac:dyDescent="0.3">
      <c r="A44" s="1">
        <v>2025</v>
      </c>
      <c r="B44" s="1" t="s">
        <v>714</v>
      </c>
      <c r="C44" s="1" t="s">
        <v>755</v>
      </c>
      <c r="D44" s="1" t="s">
        <v>1396</v>
      </c>
      <c r="E44" s="1" t="s">
        <v>1398</v>
      </c>
      <c r="F44" s="1" t="s">
        <v>1397</v>
      </c>
      <c r="G44" s="1" t="s">
        <v>758</v>
      </c>
      <c r="H44" s="1" t="s">
        <v>767</v>
      </c>
      <c r="I44" s="1">
        <v>44144</v>
      </c>
      <c r="J44" s="1">
        <v>45865.384814814817</v>
      </c>
      <c r="K44" s="1">
        <v>45865.384814814817</v>
      </c>
      <c r="L44" s="1" t="s">
        <v>769</v>
      </c>
      <c r="M44" s="1">
        <v>1</v>
      </c>
      <c r="AA44" s="11" t="s">
        <v>1716</v>
      </c>
      <c r="AB44" s="11">
        <v>2</v>
      </c>
    </row>
    <row r="45" spans="1:28" x14ac:dyDescent="0.3">
      <c r="A45" s="1">
        <v>2022</v>
      </c>
      <c r="B45" s="1" t="s">
        <v>714</v>
      </c>
      <c r="C45" s="1" t="s">
        <v>755</v>
      </c>
      <c r="D45" s="1" t="s">
        <v>755</v>
      </c>
      <c r="E45" s="1" t="s">
        <v>906</v>
      </c>
      <c r="F45" s="1" t="s">
        <v>905</v>
      </c>
      <c r="G45" s="1" t="s">
        <v>758</v>
      </c>
      <c r="H45" s="1" t="s">
        <v>875</v>
      </c>
      <c r="I45" s="1">
        <v>44731</v>
      </c>
      <c r="J45" s="1">
        <v>45865.374305555553</v>
      </c>
      <c r="K45" s="1">
        <v>45865.374305555553</v>
      </c>
      <c r="L45" s="1" t="s">
        <v>877</v>
      </c>
      <c r="M45" s="1">
        <v>1</v>
      </c>
      <c r="AA45" s="11" t="s">
        <v>866</v>
      </c>
      <c r="AB45" s="11">
        <v>1</v>
      </c>
    </row>
    <row r="46" spans="1:28" x14ac:dyDescent="0.3">
      <c r="A46" s="1">
        <v>2024</v>
      </c>
      <c r="B46" s="1" t="s">
        <v>714</v>
      </c>
      <c r="C46" s="1" t="s">
        <v>755</v>
      </c>
      <c r="D46" s="1" t="s">
        <v>715</v>
      </c>
      <c r="E46" s="1" t="s">
        <v>1019</v>
      </c>
      <c r="F46" s="1" t="s">
        <v>1018</v>
      </c>
      <c r="G46" s="1" t="s">
        <v>758</v>
      </c>
      <c r="H46" s="1" t="s">
        <v>1012</v>
      </c>
      <c r="I46" s="1">
        <v>45261</v>
      </c>
      <c r="J46" s="1">
        <v>45865.395335648151</v>
      </c>
      <c r="K46" s="1">
        <v>45865.395335648151</v>
      </c>
      <c r="L46" s="1" t="s">
        <v>1014</v>
      </c>
      <c r="M46" s="1">
        <v>1</v>
      </c>
      <c r="AA46" s="11" t="s">
        <v>1771</v>
      </c>
      <c r="AB46" s="11">
        <v>1</v>
      </c>
    </row>
    <row r="47" spans="1:28" x14ac:dyDescent="0.3">
      <c r="A47" s="1">
        <v>2024</v>
      </c>
      <c r="B47" s="1" t="s">
        <v>714</v>
      </c>
      <c r="C47" s="1" t="s">
        <v>755</v>
      </c>
      <c r="D47" s="1" t="s">
        <v>715</v>
      </c>
      <c r="E47" s="1" t="s">
        <v>1025</v>
      </c>
      <c r="F47" s="1" t="s">
        <v>1024</v>
      </c>
      <c r="G47" s="1" t="s">
        <v>758</v>
      </c>
      <c r="H47" s="1" t="s">
        <v>1015</v>
      </c>
      <c r="I47" s="1">
        <v>45261</v>
      </c>
      <c r="J47" s="1">
        <v>45865.395335648151</v>
      </c>
      <c r="K47" s="1">
        <v>45865.395335648151</v>
      </c>
      <c r="L47" s="1" t="s">
        <v>1017</v>
      </c>
      <c r="M47" s="1">
        <v>1</v>
      </c>
      <c r="AA47" s="12" t="s">
        <v>439</v>
      </c>
      <c r="AB47" s="12">
        <v>9</v>
      </c>
    </row>
    <row r="48" spans="1:28" x14ac:dyDescent="0.3">
      <c r="A48" s="1">
        <v>2025</v>
      </c>
      <c r="B48" s="1" t="s">
        <v>714</v>
      </c>
      <c r="C48" s="1" t="s">
        <v>755</v>
      </c>
      <c r="D48" s="1" t="s">
        <v>715</v>
      </c>
      <c r="E48" s="1" t="s">
        <v>1371</v>
      </c>
      <c r="F48" s="1" t="s">
        <v>1370</v>
      </c>
      <c r="G48" s="1" t="s">
        <v>758</v>
      </c>
      <c r="H48" s="1" t="s">
        <v>1253</v>
      </c>
      <c r="I48" s="1">
        <v>45352</v>
      </c>
      <c r="J48" s="1">
        <v>45865.38480324074</v>
      </c>
      <c r="K48" s="1">
        <v>45865.38480324074</v>
      </c>
      <c r="L48" s="1" t="s">
        <v>1255</v>
      </c>
      <c r="M48" s="1">
        <v>1</v>
      </c>
      <c r="AA48" s="11" t="s">
        <v>2875</v>
      </c>
      <c r="AB48" s="11">
        <v>1</v>
      </c>
    </row>
    <row r="49" spans="1:28" x14ac:dyDescent="0.3">
      <c r="A49" s="1">
        <v>2021</v>
      </c>
      <c r="B49" s="1" t="s">
        <v>714</v>
      </c>
      <c r="C49" s="1" t="s">
        <v>755</v>
      </c>
      <c r="D49" s="1" t="s">
        <v>737</v>
      </c>
      <c r="E49" s="1" t="s">
        <v>812</v>
      </c>
      <c r="F49" s="1" t="s">
        <v>811</v>
      </c>
      <c r="G49" s="1" t="s">
        <v>758</v>
      </c>
      <c r="H49" s="1" t="s">
        <v>1317</v>
      </c>
      <c r="I49" s="1">
        <v>45444</v>
      </c>
      <c r="J49" s="1">
        <v>45865.394502314812</v>
      </c>
      <c r="K49" s="1">
        <v>45865.394502314812</v>
      </c>
      <c r="L49" s="1" t="s">
        <v>1319</v>
      </c>
      <c r="M49" s="1">
        <v>1</v>
      </c>
      <c r="AA49" s="11" t="s">
        <v>618</v>
      </c>
      <c r="AB49" s="11">
        <v>1</v>
      </c>
    </row>
    <row r="50" spans="1:28" x14ac:dyDescent="0.3">
      <c r="A50" s="1">
        <v>2021</v>
      </c>
      <c r="B50" s="1" t="s">
        <v>714</v>
      </c>
      <c r="C50" s="1" t="s">
        <v>755</v>
      </c>
      <c r="D50" s="1" t="s">
        <v>730</v>
      </c>
      <c r="E50" s="1" t="s">
        <v>838</v>
      </c>
      <c r="F50" s="1" t="s">
        <v>837</v>
      </c>
      <c r="G50" s="1" t="s">
        <v>758</v>
      </c>
      <c r="H50" s="1" t="s">
        <v>1418</v>
      </c>
      <c r="I50" s="1">
        <v>45717</v>
      </c>
      <c r="J50" s="1">
        <v>45865.374305555553</v>
      </c>
      <c r="K50" s="1">
        <v>45865.374305555553</v>
      </c>
      <c r="L50" s="1" t="s">
        <v>1420</v>
      </c>
      <c r="M50" s="1">
        <v>1</v>
      </c>
      <c r="AA50" s="11" t="s">
        <v>2889</v>
      </c>
      <c r="AB50" s="11">
        <v>1</v>
      </c>
    </row>
    <row r="51" spans="1:28" x14ac:dyDescent="0.3">
      <c r="A51" s="1">
        <v>2020</v>
      </c>
      <c r="B51" s="1" t="s">
        <v>1503</v>
      </c>
      <c r="C51" s="1" t="s">
        <v>755</v>
      </c>
      <c r="D51" s="1" t="s">
        <v>766</v>
      </c>
      <c r="E51" s="1" t="s">
        <v>2627</v>
      </c>
      <c r="F51" s="1" t="s">
        <v>2625</v>
      </c>
      <c r="G51" s="1" t="s">
        <v>2626</v>
      </c>
      <c r="H51" s="1">
        <v>15</v>
      </c>
      <c r="I51" s="1" t="s">
        <v>767</v>
      </c>
      <c r="J51" s="1" t="s">
        <v>2628</v>
      </c>
      <c r="K51" s="1" t="s">
        <v>2629</v>
      </c>
      <c r="L51" s="1" t="s">
        <v>1502</v>
      </c>
      <c r="M51" s="1">
        <v>1</v>
      </c>
      <c r="AA51" s="12" t="s">
        <v>455</v>
      </c>
      <c r="AB51" s="12">
        <v>9</v>
      </c>
    </row>
    <row r="52" spans="1:28" x14ac:dyDescent="0.3">
      <c r="A52" s="1">
        <v>2020</v>
      </c>
      <c r="B52" s="1" t="s">
        <v>1503</v>
      </c>
      <c r="C52" s="1" t="s">
        <v>755</v>
      </c>
      <c r="D52" s="1" t="s">
        <v>757</v>
      </c>
      <c r="E52" s="1" t="s">
        <v>2686</v>
      </c>
      <c r="F52" s="1" t="s">
        <v>2669</v>
      </c>
      <c r="G52" s="1" t="s">
        <v>2670</v>
      </c>
      <c r="H52" s="1">
        <v>21</v>
      </c>
      <c r="I52" s="1" t="s">
        <v>759</v>
      </c>
      <c r="J52" s="1" t="s">
        <v>2687</v>
      </c>
      <c r="K52" s="1" t="s">
        <v>2688</v>
      </c>
      <c r="L52" s="1" t="s">
        <v>1502</v>
      </c>
      <c r="M52" s="1">
        <v>1</v>
      </c>
      <c r="AA52" s="11" t="s">
        <v>652</v>
      </c>
      <c r="AB52" s="11">
        <v>1</v>
      </c>
    </row>
    <row r="53" spans="1:28" x14ac:dyDescent="0.3">
      <c r="A53" s="1">
        <v>2022</v>
      </c>
      <c r="B53" s="1" t="s">
        <v>1503</v>
      </c>
      <c r="C53" s="1" t="s">
        <v>755</v>
      </c>
      <c r="D53" s="1" t="s">
        <v>874</v>
      </c>
      <c r="E53" s="1" t="s">
        <v>2485</v>
      </c>
      <c r="F53" s="1" t="s">
        <v>2483</v>
      </c>
      <c r="G53" s="1" t="s">
        <v>2484</v>
      </c>
      <c r="H53" s="1">
        <v>14</v>
      </c>
      <c r="I53" s="1" t="s">
        <v>875</v>
      </c>
      <c r="J53" s="1" t="s">
        <v>2486</v>
      </c>
      <c r="K53" s="1" t="s">
        <v>2487</v>
      </c>
      <c r="L53" s="1" t="s">
        <v>1502</v>
      </c>
      <c r="M53" s="1">
        <v>1</v>
      </c>
      <c r="AA53" s="11" t="s">
        <v>685</v>
      </c>
      <c r="AB53" s="11">
        <v>1</v>
      </c>
    </row>
    <row r="54" spans="1:28" x14ac:dyDescent="0.3">
      <c r="A54" s="1">
        <v>2020</v>
      </c>
      <c r="B54" s="1" t="s">
        <v>697</v>
      </c>
      <c r="C54" s="1" t="s">
        <v>695</v>
      </c>
      <c r="D54" s="1" t="s">
        <v>693</v>
      </c>
      <c r="E54" s="1" t="s">
        <v>694</v>
      </c>
      <c r="F54" s="1">
        <v>2020</v>
      </c>
      <c r="G54" s="1"/>
      <c r="H54" s="1"/>
      <c r="I54" s="1"/>
      <c r="J54" s="1"/>
      <c r="K54" s="5" t="str">
        <f>HYPERLINK("https%3A%2F%2Fwww.webofscience.com%2Fwos%2Fwoscc%2Ffull-record%2FWOS:000524291600008","View Full Record in Web of Science")</f>
        <v>View Full Record in Web of Science</v>
      </c>
      <c r="L54" s="1"/>
      <c r="M54" s="1">
        <v>1</v>
      </c>
      <c r="AA54" s="11" t="s">
        <v>405</v>
      </c>
      <c r="AB54" s="11">
        <v>2</v>
      </c>
    </row>
    <row r="55" spans="1:28" x14ac:dyDescent="0.3">
      <c r="A55" s="1">
        <v>2020</v>
      </c>
      <c r="B55" s="1" t="s">
        <v>1503</v>
      </c>
      <c r="C55" s="1" t="s">
        <v>695</v>
      </c>
      <c r="D55" s="1" t="s">
        <v>2701</v>
      </c>
      <c r="E55" s="1" t="s">
        <v>2703</v>
      </c>
      <c r="F55" s="1" t="s">
        <v>2699</v>
      </c>
      <c r="G55" s="1" t="s">
        <v>2700</v>
      </c>
      <c r="H55" s="1">
        <v>1</v>
      </c>
      <c r="I55" s="1" t="s">
        <v>2702</v>
      </c>
      <c r="J55" s="1" t="s">
        <v>2704</v>
      </c>
      <c r="K55" s="5" t="str">
        <f>HYPERLINK("https%3A%2F%2Fwww.webofscience.com%2Fwos%2Fwoscc%2Ffull-record%2FWOS:000524291600008","View Full Record in Web of Science")</f>
        <v>View Full Record in Web of Science</v>
      </c>
      <c r="L55" s="1" t="s">
        <v>1502</v>
      </c>
      <c r="M55" s="1">
        <v>1</v>
      </c>
      <c r="AA55" s="11" t="s">
        <v>423</v>
      </c>
      <c r="AB55" s="11">
        <v>2</v>
      </c>
    </row>
    <row r="56" spans="1:28" x14ac:dyDescent="0.3">
      <c r="A56" s="1">
        <v>2020</v>
      </c>
      <c r="B56" s="1" t="s">
        <v>2753</v>
      </c>
      <c r="C56" s="1" t="s">
        <v>695</v>
      </c>
      <c r="D56" s="1" t="s">
        <v>2755</v>
      </c>
      <c r="E56" s="1" t="s">
        <v>2756</v>
      </c>
      <c r="F56" s="1" t="s">
        <v>694</v>
      </c>
      <c r="G56" s="1" t="s">
        <v>380</v>
      </c>
      <c r="H56" s="1" t="s">
        <v>2770</v>
      </c>
      <c r="I56" s="1" t="s">
        <v>2771</v>
      </c>
      <c r="J56" s="1" t="s">
        <v>382</v>
      </c>
      <c r="K56" s="1" t="str">
        <f>HYPERLINK("https%3A%2F%2Fwww.webofscience.com%2Fwos%2Fwoscc%2Ffull-record%2FWOS:000577863700004","View Full Record in Web of Science")</f>
        <v>View Full Record in Web of Science</v>
      </c>
      <c r="L56" s="1"/>
      <c r="M56" s="1">
        <v>1</v>
      </c>
      <c r="AA56" s="12" t="s">
        <v>353</v>
      </c>
      <c r="AB56" s="12">
        <v>10</v>
      </c>
    </row>
    <row r="57" spans="1:28" x14ac:dyDescent="0.3">
      <c r="A57" s="1">
        <v>2024</v>
      </c>
      <c r="B57" s="1" t="s">
        <v>2753</v>
      </c>
      <c r="C57" s="1" t="s">
        <v>695</v>
      </c>
      <c r="D57" s="1" t="s">
        <v>2873</v>
      </c>
      <c r="E57" s="1" t="s">
        <v>702</v>
      </c>
      <c r="F57" s="1" t="s">
        <v>706</v>
      </c>
      <c r="G57" s="1" t="s">
        <v>2775</v>
      </c>
      <c r="H57" s="1" t="s">
        <v>2776</v>
      </c>
      <c r="I57" s="1" t="s">
        <v>2777</v>
      </c>
      <c r="J57" s="1" t="s">
        <v>2681</v>
      </c>
      <c r="K57" s="1" t="str">
        <f>HYPERLINK("https%3A%2F%2Fwww.webofscience.com%2Fwos%2Fwoscc%2Ffull-record%2FWOS:000590982000002","View Full Record in Web of Science")</f>
        <v>View Full Record in Web of Science</v>
      </c>
      <c r="L57" s="1"/>
      <c r="M57" s="1">
        <v>1</v>
      </c>
      <c r="AA57" s="11" t="s">
        <v>463</v>
      </c>
      <c r="AB57" s="11">
        <v>3</v>
      </c>
    </row>
    <row r="58" spans="1:28" x14ac:dyDescent="0.3">
      <c r="A58" s="1">
        <v>2024</v>
      </c>
      <c r="B58" s="1" t="s">
        <v>2753</v>
      </c>
      <c r="C58" s="1" t="s">
        <v>2886</v>
      </c>
      <c r="D58" s="1" t="s">
        <v>2887</v>
      </c>
      <c r="E58" s="1" t="s">
        <v>1178</v>
      </c>
      <c r="F58" s="1" t="s">
        <v>1179</v>
      </c>
      <c r="G58" s="1" t="s">
        <v>527</v>
      </c>
      <c r="H58" s="1" t="s">
        <v>459</v>
      </c>
      <c r="I58" s="1" t="s">
        <v>2781</v>
      </c>
      <c r="J58" s="1" t="s">
        <v>528</v>
      </c>
      <c r="K58" s="1" t="str">
        <f>HYPERLINK("https%3A%2F%2Fwww.webofscience.com%2Fwos%2Fwoscc%2Ffull-record%2FWOS:000648206800014","View Full Record in Web of Science")</f>
        <v>View Full Record in Web of Science</v>
      </c>
      <c r="L58" s="1"/>
      <c r="M58" s="1">
        <v>1</v>
      </c>
      <c r="AA58" s="11" t="s">
        <v>2831</v>
      </c>
      <c r="AB58" s="11">
        <v>1</v>
      </c>
    </row>
    <row r="59" spans="1:28" x14ac:dyDescent="0.3">
      <c r="A59" s="1">
        <v>2024</v>
      </c>
      <c r="B59" s="1" t="s">
        <v>714</v>
      </c>
      <c r="C59" s="1" t="s">
        <v>722</v>
      </c>
      <c r="D59" s="1" t="s">
        <v>751</v>
      </c>
      <c r="E59" s="1" t="s">
        <v>1204</v>
      </c>
      <c r="F59" s="1" t="s">
        <v>1203</v>
      </c>
      <c r="G59" s="1" t="s">
        <v>723</v>
      </c>
      <c r="H59" s="1" t="s">
        <v>816</v>
      </c>
      <c r="I59" s="1">
        <v>44256</v>
      </c>
      <c r="J59" s="1">
        <v>45865.38480324074</v>
      </c>
      <c r="K59" s="1">
        <v>45865.38480324074</v>
      </c>
      <c r="L59" s="1" t="s">
        <v>818</v>
      </c>
      <c r="M59" s="1">
        <v>1</v>
      </c>
      <c r="AA59" s="12" t="s">
        <v>385</v>
      </c>
      <c r="AB59" s="12">
        <v>5</v>
      </c>
    </row>
    <row r="60" spans="1:28" x14ac:dyDescent="0.3">
      <c r="A60" s="1">
        <v>2023</v>
      </c>
      <c r="B60" s="1" t="s">
        <v>714</v>
      </c>
      <c r="C60" s="1" t="s">
        <v>722</v>
      </c>
      <c r="D60" s="1" t="s">
        <v>715</v>
      </c>
      <c r="E60" s="1" t="s">
        <v>955</v>
      </c>
      <c r="F60" s="1" t="s">
        <v>954</v>
      </c>
      <c r="G60" s="1" t="s">
        <v>723</v>
      </c>
      <c r="H60" s="1" t="s">
        <v>1004</v>
      </c>
      <c r="I60" s="1">
        <v>45170</v>
      </c>
      <c r="J60" s="1">
        <v>45865.394502314812</v>
      </c>
      <c r="K60" s="1">
        <v>45865.394502314812</v>
      </c>
      <c r="L60" s="1" t="s">
        <v>1006</v>
      </c>
      <c r="M60" s="1">
        <v>1</v>
      </c>
      <c r="AA60" s="11" t="s">
        <v>544</v>
      </c>
      <c r="AB60" s="11">
        <v>4</v>
      </c>
    </row>
    <row r="61" spans="1:28" x14ac:dyDescent="0.3">
      <c r="A61" s="1">
        <v>2023</v>
      </c>
      <c r="B61" s="1" t="s">
        <v>714</v>
      </c>
      <c r="C61" s="1" t="s">
        <v>722</v>
      </c>
      <c r="D61" s="1" t="s">
        <v>724</v>
      </c>
      <c r="E61" s="1" t="s">
        <v>997</v>
      </c>
      <c r="F61" s="1" t="s">
        <v>996</v>
      </c>
      <c r="G61" s="1" t="s">
        <v>723</v>
      </c>
      <c r="H61" s="1" t="s">
        <v>1377</v>
      </c>
      <c r="I61" s="1">
        <v>45717</v>
      </c>
      <c r="J61" s="1">
        <v>45865.374305555553</v>
      </c>
      <c r="K61" s="1">
        <v>45865.374305555553</v>
      </c>
      <c r="L61" s="1" t="s">
        <v>1379</v>
      </c>
      <c r="M61" s="1">
        <v>1</v>
      </c>
      <c r="AA61" s="12" t="s">
        <v>377</v>
      </c>
      <c r="AB61" s="12">
        <v>14</v>
      </c>
    </row>
    <row r="62" spans="1:28" x14ac:dyDescent="0.3">
      <c r="A62" s="1">
        <v>2023</v>
      </c>
      <c r="B62" s="1" t="s">
        <v>714</v>
      </c>
      <c r="C62" s="1" t="s">
        <v>880</v>
      </c>
      <c r="D62" s="1" t="s">
        <v>715</v>
      </c>
      <c r="E62" s="1" t="s">
        <v>931</v>
      </c>
      <c r="F62" s="1" t="s">
        <v>930</v>
      </c>
      <c r="G62" s="1" t="s">
        <v>881</v>
      </c>
      <c r="H62" s="1" t="s">
        <v>998</v>
      </c>
      <c r="I62" s="1">
        <v>44927</v>
      </c>
      <c r="J62" s="1">
        <v>45865.394490740742</v>
      </c>
      <c r="K62" s="1">
        <v>45865.394490740742</v>
      </c>
      <c r="L62" s="1" t="s">
        <v>1000</v>
      </c>
      <c r="M62" s="1">
        <v>1</v>
      </c>
      <c r="AA62" s="11" t="s">
        <v>343</v>
      </c>
      <c r="AB62" s="11">
        <v>2</v>
      </c>
    </row>
    <row r="63" spans="1:28" x14ac:dyDescent="0.3">
      <c r="A63" s="1">
        <v>2024</v>
      </c>
      <c r="B63" s="1" t="s">
        <v>714</v>
      </c>
      <c r="C63" s="1" t="s">
        <v>880</v>
      </c>
      <c r="D63" s="1" t="s">
        <v>715</v>
      </c>
      <c r="E63" s="1" t="s">
        <v>1276</v>
      </c>
      <c r="F63" s="1" t="s">
        <v>1275</v>
      </c>
      <c r="G63" s="1" t="s">
        <v>881</v>
      </c>
      <c r="H63" s="1" t="s">
        <v>1180</v>
      </c>
      <c r="I63" s="1">
        <v>45627</v>
      </c>
      <c r="J63" s="1">
        <v>45865.374305555553</v>
      </c>
      <c r="K63" s="1">
        <v>45865.374305555553</v>
      </c>
      <c r="L63" s="1" t="s">
        <v>1182</v>
      </c>
      <c r="M63" s="1">
        <v>1</v>
      </c>
      <c r="AA63" s="12" t="s">
        <v>414</v>
      </c>
      <c r="AB63" s="12">
        <v>6</v>
      </c>
    </row>
    <row r="64" spans="1:28" x14ac:dyDescent="0.3">
      <c r="A64" s="1">
        <v>2022</v>
      </c>
      <c r="B64" s="1" t="s">
        <v>714</v>
      </c>
      <c r="C64" s="1" t="s">
        <v>880</v>
      </c>
      <c r="D64" s="1" t="s">
        <v>884</v>
      </c>
      <c r="E64" s="1" t="s">
        <v>886</v>
      </c>
      <c r="F64" s="1" t="s">
        <v>885</v>
      </c>
      <c r="G64" s="1" t="s">
        <v>881</v>
      </c>
      <c r="H64" s="1" t="s">
        <v>1303</v>
      </c>
      <c r="I64" s="1">
        <v>45413</v>
      </c>
      <c r="J64" s="1">
        <v>45865.394490740742</v>
      </c>
      <c r="K64" s="1">
        <v>45865.394490740742</v>
      </c>
      <c r="L64" s="1" t="s">
        <v>1305</v>
      </c>
      <c r="M64" s="1">
        <v>1</v>
      </c>
      <c r="AA64" s="11" t="s">
        <v>369</v>
      </c>
      <c r="AB64" s="11">
        <v>1</v>
      </c>
    </row>
    <row r="65" spans="1:28" x14ac:dyDescent="0.3">
      <c r="A65" s="1">
        <v>2024</v>
      </c>
      <c r="B65" s="1" t="s">
        <v>714</v>
      </c>
      <c r="C65" s="1" t="s">
        <v>880</v>
      </c>
      <c r="D65" s="1" t="s">
        <v>764</v>
      </c>
      <c r="E65" s="1" t="s">
        <v>1152</v>
      </c>
      <c r="F65" s="1" t="s">
        <v>1151</v>
      </c>
      <c r="G65" s="1" t="s">
        <v>881</v>
      </c>
      <c r="H65" s="1" t="s">
        <v>1331</v>
      </c>
      <c r="I65" s="1">
        <v>45627</v>
      </c>
      <c r="J65" s="1">
        <v>45865.395324074074</v>
      </c>
      <c r="K65" s="1">
        <v>45865.395324074074</v>
      </c>
      <c r="L65" s="1" t="s">
        <v>1333</v>
      </c>
      <c r="M65" s="1">
        <v>1</v>
      </c>
      <c r="AA65" s="11" t="s">
        <v>36</v>
      </c>
      <c r="AB65" s="11">
        <v>1</v>
      </c>
    </row>
    <row r="66" spans="1:28" x14ac:dyDescent="0.3">
      <c r="A66" s="1">
        <v>2024</v>
      </c>
      <c r="B66" s="1" t="s">
        <v>714</v>
      </c>
      <c r="C66" s="1" t="s">
        <v>880</v>
      </c>
      <c r="D66" s="1" t="s">
        <v>724</v>
      </c>
      <c r="E66" s="1" t="s">
        <v>1199</v>
      </c>
      <c r="F66" s="1" t="s">
        <v>1198</v>
      </c>
      <c r="G66" s="1" t="s">
        <v>881</v>
      </c>
      <c r="H66" s="1" t="s">
        <v>1390</v>
      </c>
      <c r="I66" s="1">
        <v>45778</v>
      </c>
      <c r="J66" s="1">
        <v>45865.374305555553</v>
      </c>
      <c r="K66" s="1">
        <v>45865.374305555553</v>
      </c>
      <c r="L66" s="1" t="s">
        <v>1392</v>
      </c>
      <c r="M66" s="1">
        <v>1</v>
      </c>
      <c r="AA66" s="11" t="s">
        <v>518</v>
      </c>
      <c r="AB66" s="11">
        <v>3</v>
      </c>
    </row>
    <row r="67" spans="1:28" x14ac:dyDescent="0.3">
      <c r="A67" s="1">
        <v>2024</v>
      </c>
      <c r="B67" s="1" t="s">
        <v>1503</v>
      </c>
      <c r="C67" s="1" t="s">
        <v>880</v>
      </c>
      <c r="D67" s="1" t="s">
        <v>1179</v>
      </c>
      <c r="E67" s="1" t="s">
        <v>1872</v>
      </c>
      <c r="F67" s="1" t="s">
        <v>1870</v>
      </c>
      <c r="G67" s="1" t="s">
        <v>1871</v>
      </c>
      <c r="H67" s="1">
        <v>18</v>
      </c>
      <c r="I67" s="1" t="s">
        <v>1180</v>
      </c>
      <c r="J67" s="1" t="s">
        <v>1873</v>
      </c>
      <c r="K67" s="1" t="s">
        <v>1874</v>
      </c>
      <c r="L67" s="1" t="s">
        <v>1502</v>
      </c>
      <c r="M67" s="1">
        <v>1</v>
      </c>
      <c r="AA67" s="11" t="s">
        <v>2800</v>
      </c>
      <c r="AB67" s="11">
        <v>3</v>
      </c>
    </row>
    <row r="68" spans="1:28" x14ac:dyDescent="0.3">
      <c r="A68" s="1">
        <v>2021</v>
      </c>
      <c r="B68" s="1" t="s">
        <v>714</v>
      </c>
      <c r="C68" s="1" t="s">
        <v>1411</v>
      </c>
      <c r="D68" s="1" t="s">
        <v>730</v>
      </c>
      <c r="E68" s="1" t="s">
        <v>833</v>
      </c>
      <c r="F68" s="1" t="s">
        <v>832</v>
      </c>
      <c r="G68" s="1" t="s">
        <v>1412</v>
      </c>
      <c r="H68" s="1" t="s">
        <v>1413</v>
      </c>
      <c r="I68" s="1">
        <v>45717</v>
      </c>
      <c r="J68" s="1">
        <v>45865.374305555553</v>
      </c>
      <c r="K68" s="1">
        <v>45865.374305555553</v>
      </c>
      <c r="L68" s="1" t="s">
        <v>1415</v>
      </c>
      <c r="M68" s="1">
        <v>1</v>
      </c>
      <c r="AA68" s="11" t="s">
        <v>2169</v>
      </c>
      <c r="AB68" s="11">
        <v>1</v>
      </c>
    </row>
    <row r="69" spans="1:28" x14ac:dyDescent="0.3">
      <c r="A69" s="1">
        <v>2024</v>
      </c>
      <c r="B69" s="1" t="s">
        <v>714</v>
      </c>
      <c r="C69" s="1" t="s">
        <v>910</v>
      </c>
      <c r="D69" s="1" t="s">
        <v>724</v>
      </c>
      <c r="E69" s="1" t="s">
        <v>1174</v>
      </c>
      <c r="F69" s="1" t="s">
        <v>1173</v>
      </c>
      <c r="G69" s="1" t="s">
        <v>911</v>
      </c>
      <c r="H69" s="1" t="s">
        <v>1385</v>
      </c>
      <c r="I69" s="1">
        <v>45796</v>
      </c>
      <c r="J69" s="1">
        <v>45865.374305555553</v>
      </c>
      <c r="K69" s="1">
        <v>45865.374305555553</v>
      </c>
      <c r="L69" s="1" t="s">
        <v>1387</v>
      </c>
      <c r="M69" s="1">
        <v>1</v>
      </c>
      <c r="AA69" s="11" t="s">
        <v>967</v>
      </c>
      <c r="AB69" s="11">
        <v>4</v>
      </c>
    </row>
    <row r="70" spans="1:28" x14ac:dyDescent="0.3">
      <c r="A70" s="1">
        <v>2021</v>
      </c>
      <c r="B70" s="1" t="s">
        <v>1503</v>
      </c>
      <c r="C70" s="1" t="s">
        <v>1501</v>
      </c>
      <c r="D70" s="1" t="s">
        <v>2655</v>
      </c>
      <c r="E70" s="1" t="s">
        <v>2657</v>
      </c>
      <c r="F70" s="1" t="s">
        <v>2351</v>
      </c>
      <c r="G70" s="1" t="s">
        <v>2352</v>
      </c>
      <c r="H70" s="1">
        <v>21</v>
      </c>
      <c r="I70" s="1" t="s">
        <v>2656</v>
      </c>
      <c r="J70" s="1" t="s">
        <v>2658</v>
      </c>
      <c r="K70" s="1" t="s">
        <v>2659</v>
      </c>
      <c r="L70" s="1" t="s">
        <v>1502</v>
      </c>
      <c r="M70" s="1">
        <v>1</v>
      </c>
      <c r="AA70" s="11" t="s">
        <v>928</v>
      </c>
      <c r="AB70" s="11">
        <v>2</v>
      </c>
    </row>
    <row r="71" spans="1:28" x14ac:dyDescent="0.3">
      <c r="A71" s="1">
        <v>2025</v>
      </c>
      <c r="B71" s="1" t="s">
        <v>1503</v>
      </c>
      <c r="C71" s="1" t="s">
        <v>1501</v>
      </c>
      <c r="D71" s="1" t="s">
        <v>1596</v>
      </c>
      <c r="E71" s="1" t="s">
        <v>1598</v>
      </c>
      <c r="F71" s="1" t="s">
        <v>1594</v>
      </c>
      <c r="G71" s="1" t="s">
        <v>1595</v>
      </c>
      <c r="H71" s="1">
        <v>0</v>
      </c>
      <c r="I71" s="1" t="s">
        <v>1597</v>
      </c>
      <c r="J71" s="1" t="s">
        <v>1599</v>
      </c>
      <c r="K71" s="1" t="s">
        <v>1600</v>
      </c>
      <c r="L71" s="1" t="s">
        <v>1502</v>
      </c>
      <c r="M71" s="1">
        <v>1</v>
      </c>
      <c r="AA71" s="11" t="s">
        <v>1324</v>
      </c>
      <c r="AB71" s="11">
        <v>1</v>
      </c>
    </row>
    <row r="72" spans="1:28" x14ac:dyDescent="0.3">
      <c r="A72" s="1">
        <v>2025</v>
      </c>
      <c r="B72" s="1" t="s">
        <v>1503</v>
      </c>
      <c r="C72" s="1" t="s">
        <v>1501</v>
      </c>
      <c r="D72" s="1" t="s">
        <v>1747</v>
      </c>
      <c r="E72" s="1" t="s">
        <v>1749</v>
      </c>
      <c r="F72" s="1" t="s">
        <v>1745</v>
      </c>
      <c r="G72" s="1" t="s">
        <v>1746</v>
      </c>
      <c r="H72" s="1">
        <v>0</v>
      </c>
      <c r="I72" s="1" t="s">
        <v>1748</v>
      </c>
      <c r="J72" s="1" t="s">
        <v>1750</v>
      </c>
      <c r="K72" s="1" t="s">
        <v>1751</v>
      </c>
      <c r="L72" s="1" t="s">
        <v>1502</v>
      </c>
      <c r="M72" s="1">
        <v>1</v>
      </c>
      <c r="AA72" s="11" t="s">
        <v>884</v>
      </c>
      <c r="AB72" s="11">
        <v>1</v>
      </c>
    </row>
    <row r="73" spans="1:28" x14ac:dyDescent="0.3">
      <c r="A73" s="1">
        <v>2025</v>
      </c>
      <c r="B73" s="1" t="s">
        <v>1503</v>
      </c>
      <c r="C73" s="1" t="s">
        <v>1501</v>
      </c>
      <c r="D73" s="1" t="s">
        <v>1782</v>
      </c>
      <c r="E73" s="1" t="s">
        <v>1784</v>
      </c>
      <c r="F73" s="1" t="s">
        <v>1780</v>
      </c>
      <c r="G73" s="1" t="s">
        <v>1781</v>
      </c>
      <c r="H73" s="1">
        <v>0</v>
      </c>
      <c r="I73" s="1" t="s">
        <v>1783</v>
      </c>
      <c r="J73" s="1" t="s">
        <v>1785</v>
      </c>
      <c r="K73" s="1" t="s">
        <v>1786</v>
      </c>
      <c r="L73" s="1" t="s">
        <v>1502</v>
      </c>
      <c r="M73" s="1">
        <v>1</v>
      </c>
      <c r="AA73" s="11" t="s">
        <v>1710</v>
      </c>
      <c r="AB73" s="11">
        <v>3</v>
      </c>
    </row>
    <row r="74" spans="1:28" x14ac:dyDescent="0.3">
      <c r="A74" s="1">
        <v>2025</v>
      </c>
      <c r="B74" s="1" t="s">
        <v>1503</v>
      </c>
      <c r="C74" s="1" t="s">
        <v>1501</v>
      </c>
      <c r="D74" s="1" t="s">
        <v>1814</v>
      </c>
      <c r="E74" s="1" t="s">
        <v>1816</v>
      </c>
      <c r="F74" s="1" t="s">
        <v>1812</v>
      </c>
      <c r="G74" s="1" t="s">
        <v>1813</v>
      </c>
      <c r="H74" s="1">
        <v>10</v>
      </c>
      <c r="I74" s="1" t="s">
        <v>1815</v>
      </c>
      <c r="J74" s="1" t="s">
        <v>1817</v>
      </c>
      <c r="K74" s="1" t="s">
        <v>1818</v>
      </c>
      <c r="L74" s="1" t="s">
        <v>1502</v>
      </c>
      <c r="M74" s="1">
        <v>1</v>
      </c>
      <c r="AA74" s="11" t="s">
        <v>2132</v>
      </c>
      <c r="AB74" s="11">
        <v>2</v>
      </c>
    </row>
    <row r="75" spans="1:28" x14ac:dyDescent="0.3">
      <c r="A75" s="1">
        <v>2022</v>
      </c>
      <c r="B75" s="1" t="s">
        <v>1503</v>
      </c>
      <c r="C75" s="1" t="s">
        <v>1504</v>
      </c>
      <c r="D75" s="1" t="s">
        <v>2559</v>
      </c>
      <c r="E75" s="1" t="s">
        <v>2561</v>
      </c>
      <c r="F75" s="1" t="s">
        <v>2557</v>
      </c>
      <c r="G75" s="1" t="s">
        <v>2558</v>
      </c>
      <c r="H75" s="1">
        <v>6</v>
      </c>
      <c r="I75" s="1" t="s">
        <v>2560</v>
      </c>
      <c r="J75" s="1" t="s">
        <v>2562</v>
      </c>
      <c r="K75" s="1" t="s">
        <v>2563</v>
      </c>
      <c r="L75" s="1" t="s">
        <v>1502</v>
      </c>
      <c r="M75" s="1">
        <v>1</v>
      </c>
      <c r="AA75" s="11" t="s">
        <v>1454</v>
      </c>
      <c r="AB75" s="11">
        <v>1</v>
      </c>
    </row>
    <row r="76" spans="1:28" x14ac:dyDescent="0.3">
      <c r="A76" s="1">
        <v>2023</v>
      </c>
      <c r="B76" s="1" t="s">
        <v>1503</v>
      </c>
      <c r="C76" s="1" t="s">
        <v>1504</v>
      </c>
      <c r="D76" s="1" t="s">
        <v>2272</v>
      </c>
      <c r="E76" s="1" t="s">
        <v>2274</v>
      </c>
      <c r="F76" s="1" t="s">
        <v>2270</v>
      </c>
      <c r="G76" s="1" t="s">
        <v>2271</v>
      </c>
      <c r="H76" s="1">
        <v>5</v>
      </c>
      <c r="I76" s="1" t="s">
        <v>2273</v>
      </c>
      <c r="J76" s="1" t="s">
        <v>2275</v>
      </c>
      <c r="K76" s="1" t="s">
        <v>2276</v>
      </c>
      <c r="L76" s="1" t="s">
        <v>1502</v>
      </c>
      <c r="M76" s="1">
        <v>1</v>
      </c>
      <c r="AA76" s="11" t="s">
        <v>1693</v>
      </c>
      <c r="AB76" s="11">
        <v>2</v>
      </c>
    </row>
    <row r="77" spans="1:28" x14ac:dyDescent="0.3">
      <c r="A77" s="1">
        <v>2025</v>
      </c>
      <c r="B77" s="1" t="s">
        <v>1503</v>
      </c>
      <c r="C77" s="1" t="s">
        <v>1504</v>
      </c>
      <c r="D77" s="1" t="s">
        <v>1683</v>
      </c>
      <c r="E77" s="1" t="s">
        <v>1685</v>
      </c>
      <c r="F77" s="1" t="s">
        <v>1681</v>
      </c>
      <c r="G77" s="1" t="s">
        <v>1682</v>
      </c>
      <c r="H77" s="1">
        <v>0</v>
      </c>
      <c r="I77" s="1" t="s">
        <v>1684</v>
      </c>
      <c r="J77" s="1" t="s">
        <v>1686</v>
      </c>
      <c r="K77" s="1" t="s">
        <v>1687</v>
      </c>
      <c r="L77" s="1" t="s">
        <v>1502</v>
      </c>
      <c r="M77" s="1">
        <v>1</v>
      </c>
      <c r="AA77" s="11" t="s">
        <v>799</v>
      </c>
      <c r="AB77" s="11">
        <v>1</v>
      </c>
    </row>
    <row r="78" spans="1:28" x14ac:dyDescent="0.3">
      <c r="A78" s="1">
        <v>2023</v>
      </c>
      <c r="B78" s="1" t="s">
        <v>2753</v>
      </c>
      <c r="C78" s="1" t="s">
        <v>2825</v>
      </c>
      <c r="D78" s="1" t="s">
        <v>2826</v>
      </c>
      <c r="E78" s="1" t="s">
        <v>2827</v>
      </c>
      <c r="F78" s="1" t="s">
        <v>2272</v>
      </c>
      <c r="G78" s="1" t="s">
        <v>2784</v>
      </c>
      <c r="H78" s="1" t="s">
        <v>718</v>
      </c>
      <c r="I78" s="1" t="s">
        <v>2785</v>
      </c>
      <c r="J78" s="1" t="s">
        <v>824</v>
      </c>
      <c r="K78" s="1" t="str">
        <f>HYPERLINK("https%3A%2F%2Fwww.webofscience.com%2Fwos%2Fwoscc%2Ffull-record%2FWOS:000579186700032","View Full Record in Web of Science")</f>
        <v>View Full Record in Web of Science</v>
      </c>
      <c r="L78" s="1"/>
      <c r="M78" s="1">
        <v>1</v>
      </c>
      <c r="AA78" s="11" t="s">
        <v>2790</v>
      </c>
      <c r="AB78" s="11">
        <v>1</v>
      </c>
    </row>
    <row r="79" spans="1:28" x14ac:dyDescent="0.3">
      <c r="A79" s="1">
        <v>2025</v>
      </c>
      <c r="B79" s="1" t="s">
        <v>714</v>
      </c>
      <c r="C79" s="1" t="s">
        <v>783</v>
      </c>
      <c r="D79" s="1" t="s">
        <v>770</v>
      </c>
      <c r="E79" s="1" t="s">
        <v>1404</v>
      </c>
      <c r="F79" s="1" t="s">
        <v>1403</v>
      </c>
      <c r="G79" s="1" t="s">
        <v>786</v>
      </c>
      <c r="H79" s="1" t="s">
        <v>787</v>
      </c>
      <c r="I79" s="1">
        <v>43952</v>
      </c>
      <c r="J79" s="1">
        <v>45865.395324074074</v>
      </c>
      <c r="K79" s="1">
        <v>45865.395324074074</v>
      </c>
      <c r="L79" s="1" t="s">
        <v>789</v>
      </c>
      <c r="M79" s="1">
        <v>1</v>
      </c>
      <c r="AA79" s="11" t="s">
        <v>2306</v>
      </c>
      <c r="AB79" s="11">
        <v>2</v>
      </c>
    </row>
    <row r="80" spans="1:28" x14ac:dyDescent="0.3">
      <c r="A80" s="1">
        <v>2024</v>
      </c>
      <c r="B80" s="1" t="s">
        <v>714</v>
      </c>
      <c r="C80" s="1" t="s">
        <v>1010</v>
      </c>
      <c r="D80" s="1" t="s">
        <v>715</v>
      </c>
      <c r="E80" s="1" t="s">
        <v>1239</v>
      </c>
      <c r="F80" s="1" t="s">
        <v>1238</v>
      </c>
      <c r="G80" s="1" t="s">
        <v>1011</v>
      </c>
      <c r="H80" s="1" t="s">
        <v>1158</v>
      </c>
      <c r="I80" s="1">
        <v>45536</v>
      </c>
      <c r="J80" s="1">
        <v>45865.374305555553</v>
      </c>
      <c r="K80" s="1">
        <v>45865.374305555553</v>
      </c>
      <c r="L80" s="1" t="s">
        <v>1160</v>
      </c>
      <c r="M80" s="1">
        <v>1</v>
      </c>
      <c r="AA80" s="11" t="s">
        <v>1928</v>
      </c>
      <c r="AB80" s="11">
        <v>1</v>
      </c>
    </row>
    <row r="81" spans="1:28" x14ac:dyDescent="0.3">
      <c r="A81" s="1">
        <v>2021</v>
      </c>
      <c r="B81" s="1" t="s">
        <v>1503</v>
      </c>
      <c r="C81" s="1" t="s">
        <v>1541</v>
      </c>
      <c r="D81" s="1" t="s">
        <v>2602</v>
      </c>
      <c r="E81" s="1" t="s">
        <v>2604</v>
      </c>
      <c r="F81" s="1" t="s">
        <v>2600</v>
      </c>
      <c r="G81" s="1" t="s">
        <v>2601</v>
      </c>
      <c r="H81" s="1">
        <v>85</v>
      </c>
      <c r="I81" s="1" t="s">
        <v>2603</v>
      </c>
      <c r="J81" s="1" t="s">
        <v>2605</v>
      </c>
      <c r="K81" s="5" t="str">
        <f>HYPERLINK("https%3A%2F%2Fwww.webofscience.com%2Fwos%2Fwoscc%2Ffull-record%2FWOS:000524291600008","View Full Record in Web of Science")</f>
        <v>View Full Record in Web of Science</v>
      </c>
      <c r="L81" s="1" t="s">
        <v>1502</v>
      </c>
      <c r="M81" s="1">
        <v>1</v>
      </c>
      <c r="AA81" s="11" t="s">
        <v>2179</v>
      </c>
      <c r="AB81" s="11">
        <v>1</v>
      </c>
    </row>
    <row r="82" spans="1:28" x14ac:dyDescent="0.3">
      <c r="A82" s="1">
        <v>2021</v>
      </c>
      <c r="B82" s="1" t="s">
        <v>1503</v>
      </c>
      <c r="C82" s="1" t="s">
        <v>1541</v>
      </c>
      <c r="D82" s="1" t="s">
        <v>2650</v>
      </c>
      <c r="E82" s="1" t="s">
        <v>2652</v>
      </c>
      <c r="F82" s="1" t="s">
        <v>2648</v>
      </c>
      <c r="G82" s="1" t="s">
        <v>2649</v>
      </c>
      <c r="H82" s="1">
        <v>23</v>
      </c>
      <c r="I82" s="1" t="s">
        <v>2651</v>
      </c>
      <c r="J82" s="1" t="s">
        <v>2653</v>
      </c>
      <c r="K82" s="5" t="str">
        <f>HYPERLINK("https%3A%2F%2Fwww.webofscience.com%2Fwos%2Fwoscc%2Ffull-record%2FWOS:000524291600008","View Full Record in Web of Science")</f>
        <v>View Full Record in Web of Science</v>
      </c>
      <c r="L82" s="1" t="s">
        <v>1502</v>
      </c>
      <c r="M82" s="1">
        <v>1</v>
      </c>
      <c r="AA82" s="11" t="s">
        <v>2030</v>
      </c>
      <c r="AB82" s="11">
        <v>2</v>
      </c>
    </row>
    <row r="83" spans="1:28" x14ac:dyDescent="0.3">
      <c r="A83" s="1">
        <v>2022</v>
      </c>
      <c r="B83" s="1" t="s">
        <v>1503</v>
      </c>
      <c r="C83" s="1" t="s">
        <v>1541</v>
      </c>
      <c r="D83" s="1" t="s">
        <v>2610</v>
      </c>
      <c r="E83" s="1" t="s">
        <v>2612</v>
      </c>
      <c r="F83" s="1" t="s">
        <v>2608</v>
      </c>
      <c r="G83" s="1" t="s">
        <v>2609</v>
      </c>
      <c r="H83" s="1">
        <v>14</v>
      </c>
      <c r="I83" s="1" t="s">
        <v>2611</v>
      </c>
      <c r="J83" s="1" t="s">
        <v>2613</v>
      </c>
      <c r="K83" s="5" t="str">
        <f>HYPERLINK("https%3A%2F%2Fwww.webofscience.com%2Fwos%2Fwoscc%2Ffull-record%2FWOS:000524291600008","View Full Record in Web of Science")</f>
        <v>View Full Record in Web of Science</v>
      </c>
      <c r="L83" s="1" t="s">
        <v>1502</v>
      </c>
      <c r="M83" s="1">
        <v>1</v>
      </c>
      <c r="AA83" s="11" t="s">
        <v>1542</v>
      </c>
      <c r="AB83" s="11">
        <v>1</v>
      </c>
    </row>
    <row r="84" spans="1:28" x14ac:dyDescent="0.3">
      <c r="A84" s="1">
        <v>2024</v>
      </c>
      <c r="B84" s="1" t="s">
        <v>1503</v>
      </c>
      <c r="C84" s="1" t="s">
        <v>1541</v>
      </c>
      <c r="D84" s="1" t="s">
        <v>1975</v>
      </c>
      <c r="E84" s="1" t="s">
        <v>1977</v>
      </c>
      <c r="F84" s="1" t="s">
        <v>1973</v>
      </c>
      <c r="G84" s="1" t="s">
        <v>1974</v>
      </c>
      <c r="H84" s="1">
        <v>1</v>
      </c>
      <c r="I84" s="1" t="s">
        <v>1976</v>
      </c>
      <c r="J84" s="1" t="s">
        <v>1978</v>
      </c>
      <c r="K84" s="5" t="str">
        <f>HYPERLINK("https%3A%2F%2Fwww.webofscience.com%2Fwos%2Fwoscc%2Ffull-record%2FWOS:000524291600008","View Full Record in Web of Science")</f>
        <v>View Full Record in Web of Science</v>
      </c>
      <c r="L84" s="1" t="s">
        <v>1502</v>
      </c>
      <c r="M84" s="1">
        <v>1</v>
      </c>
      <c r="AA84" s="11" t="s">
        <v>1613</v>
      </c>
      <c r="AB84" s="11">
        <v>1</v>
      </c>
    </row>
    <row r="85" spans="1:28" x14ac:dyDescent="0.3">
      <c r="A85" s="1">
        <v>2024</v>
      </c>
      <c r="B85" s="1" t="s">
        <v>1503</v>
      </c>
      <c r="C85" s="1" t="s">
        <v>1541</v>
      </c>
      <c r="D85" s="1" t="s">
        <v>2202</v>
      </c>
      <c r="E85" s="1" t="s">
        <v>2204</v>
      </c>
      <c r="F85" s="1" t="s">
        <v>2200</v>
      </c>
      <c r="G85" s="1" t="s">
        <v>2201</v>
      </c>
      <c r="H85" s="1">
        <v>0</v>
      </c>
      <c r="I85" s="1" t="s">
        <v>2203</v>
      </c>
      <c r="J85" s="1" t="s">
        <v>2205</v>
      </c>
      <c r="K85" s="5" t="str">
        <f>HYPERLINK("https%3A%2F%2Fwww.webofscience.com%2Fwos%2Fwoscc%2Ffull-record%2FWOS:000524291600008","View Full Record in Web of Science")</f>
        <v>View Full Record in Web of Science</v>
      </c>
      <c r="L85" s="1" t="s">
        <v>1502</v>
      </c>
      <c r="M85" s="1">
        <v>1</v>
      </c>
      <c r="AA85" s="11" t="s">
        <v>1830</v>
      </c>
      <c r="AB85" s="11">
        <v>1</v>
      </c>
    </row>
    <row r="86" spans="1:28" x14ac:dyDescent="0.3">
      <c r="A86" s="1">
        <v>2025</v>
      </c>
      <c r="B86" s="1" t="s">
        <v>1503</v>
      </c>
      <c r="C86" s="1" t="s">
        <v>1667</v>
      </c>
      <c r="D86" s="1" t="s">
        <v>1666</v>
      </c>
      <c r="E86" s="1" t="s">
        <v>1669</v>
      </c>
      <c r="F86" s="1" t="s">
        <v>1664</v>
      </c>
      <c r="G86" s="1" t="s">
        <v>1665</v>
      </c>
      <c r="H86" s="1">
        <v>1</v>
      </c>
      <c r="I86" s="1" t="s">
        <v>1668</v>
      </c>
      <c r="J86" s="1" t="s">
        <v>1670</v>
      </c>
      <c r="K86" s="1" t="s">
        <v>1671</v>
      </c>
      <c r="L86" s="1" t="s">
        <v>1502</v>
      </c>
      <c r="M86" s="1">
        <v>1</v>
      </c>
      <c r="AA86" s="11" t="s">
        <v>1515</v>
      </c>
      <c r="AB86" s="11">
        <v>1</v>
      </c>
    </row>
    <row r="87" spans="1:28" x14ac:dyDescent="0.3">
      <c r="A87" s="1">
        <v>2022</v>
      </c>
      <c r="B87" s="1" t="s">
        <v>714</v>
      </c>
      <c r="C87" s="1" t="s">
        <v>827</v>
      </c>
      <c r="D87" s="1" t="s">
        <v>922</v>
      </c>
      <c r="E87" s="1" t="s">
        <v>924</v>
      </c>
      <c r="F87" s="1" t="s">
        <v>923</v>
      </c>
      <c r="G87" s="1" t="s">
        <v>828</v>
      </c>
      <c r="H87" s="1" t="s">
        <v>829</v>
      </c>
      <c r="I87" s="1">
        <v>44256</v>
      </c>
      <c r="J87" s="1">
        <v>45865.394490740742</v>
      </c>
      <c r="K87" s="1">
        <v>45865.394490740742</v>
      </c>
      <c r="L87" s="1" t="s">
        <v>831</v>
      </c>
      <c r="M87" s="1">
        <v>1</v>
      </c>
      <c r="AA87" s="11" t="s">
        <v>737</v>
      </c>
      <c r="AB87" s="11">
        <v>1</v>
      </c>
    </row>
    <row r="88" spans="1:28" x14ac:dyDescent="0.3">
      <c r="A88" s="1">
        <v>2022</v>
      </c>
      <c r="B88" s="1" t="s">
        <v>714</v>
      </c>
      <c r="C88" s="1" t="s">
        <v>1437</v>
      </c>
      <c r="D88" s="1" t="s">
        <v>730</v>
      </c>
      <c r="E88" s="1" t="s">
        <v>916</v>
      </c>
      <c r="F88" s="1" t="s">
        <v>915</v>
      </c>
      <c r="G88" s="1" t="s">
        <v>1440</v>
      </c>
      <c r="H88" s="1" t="s">
        <v>1441</v>
      </c>
      <c r="I88" s="1">
        <v>45884</v>
      </c>
      <c r="J88" s="1">
        <v>45865.374305555553</v>
      </c>
      <c r="K88" s="1">
        <v>45865.374305555553</v>
      </c>
      <c r="L88" s="1" t="s">
        <v>1443</v>
      </c>
      <c r="M88" s="1">
        <v>1</v>
      </c>
      <c r="AA88" s="11" t="s">
        <v>1584</v>
      </c>
      <c r="AB88" s="11">
        <v>3</v>
      </c>
    </row>
    <row r="89" spans="1:28" x14ac:dyDescent="0.3">
      <c r="A89" s="1">
        <v>2022</v>
      </c>
      <c r="B89" s="1" t="s">
        <v>714</v>
      </c>
      <c r="C89" s="1" t="s">
        <v>1277</v>
      </c>
      <c r="D89" s="1" t="s">
        <v>866</v>
      </c>
      <c r="E89" s="1" t="s">
        <v>868</v>
      </c>
      <c r="F89" s="1" t="s">
        <v>867</v>
      </c>
      <c r="G89" s="1" t="s">
        <v>1278</v>
      </c>
      <c r="H89" s="1" t="s">
        <v>1279</v>
      </c>
      <c r="I89" s="1">
        <v>45292</v>
      </c>
      <c r="J89" s="1">
        <v>45865.38480324074</v>
      </c>
      <c r="K89" s="1">
        <v>45865.38480324074</v>
      </c>
      <c r="L89" s="1" t="s">
        <v>1281</v>
      </c>
      <c r="M89" s="1">
        <v>1</v>
      </c>
      <c r="AA89" s="11" t="s">
        <v>965</v>
      </c>
      <c r="AB89" s="11">
        <v>3</v>
      </c>
    </row>
    <row r="90" spans="1:28" x14ac:dyDescent="0.3">
      <c r="A90" s="1">
        <v>2024</v>
      </c>
      <c r="B90" s="1" t="s">
        <v>1503</v>
      </c>
      <c r="C90" s="1" t="s">
        <v>1743</v>
      </c>
      <c r="D90" s="1" t="s">
        <v>2053</v>
      </c>
      <c r="E90" s="1" t="s">
        <v>2055</v>
      </c>
      <c r="F90" s="1" t="s">
        <v>2051</v>
      </c>
      <c r="G90" s="1" t="s">
        <v>2052</v>
      </c>
      <c r="H90" s="1">
        <v>8</v>
      </c>
      <c r="I90" s="1" t="s">
        <v>2054</v>
      </c>
      <c r="J90" s="1" t="s">
        <v>2056</v>
      </c>
      <c r="K90" s="1" t="s">
        <v>2057</v>
      </c>
      <c r="L90" s="1" t="s">
        <v>1502</v>
      </c>
      <c r="M90" s="1">
        <v>1</v>
      </c>
      <c r="AA90" s="11" t="s">
        <v>764</v>
      </c>
      <c r="AB90" s="11">
        <v>4</v>
      </c>
    </row>
    <row r="91" spans="1:28" x14ac:dyDescent="0.3">
      <c r="A91" s="1">
        <v>2022</v>
      </c>
      <c r="B91" s="1" t="s">
        <v>714</v>
      </c>
      <c r="C91" s="1" t="s">
        <v>715</v>
      </c>
      <c r="D91" s="1" t="s">
        <v>912</v>
      </c>
      <c r="E91" s="1" t="s">
        <v>914</v>
      </c>
      <c r="F91" s="1" t="s">
        <v>913</v>
      </c>
      <c r="G91" s="1" t="s">
        <v>718</v>
      </c>
      <c r="H91" s="1" t="s">
        <v>719</v>
      </c>
      <c r="I91" s="1">
        <v>44075</v>
      </c>
      <c r="J91" s="1">
        <v>45865.374305555553</v>
      </c>
      <c r="K91" s="1">
        <v>45865.374305555553</v>
      </c>
      <c r="L91" s="1" t="s">
        <v>721</v>
      </c>
      <c r="M91" s="1">
        <v>1</v>
      </c>
      <c r="AA91" s="11" t="s">
        <v>1698</v>
      </c>
      <c r="AB91" s="11">
        <v>1</v>
      </c>
    </row>
    <row r="92" spans="1:28" x14ac:dyDescent="0.3">
      <c r="A92" s="1">
        <v>2022</v>
      </c>
      <c r="B92" s="1" t="s">
        <v>714</v>
      </c>
      <c r="C92" s="1" t="s">
        <v>715</v>
      </c>
      <c r="D92" s="1" t="s">
        <v>855</v>
      </c>
      <c r="E92" s="1" t="s">
        <v>857</v>
      </c>
      <c r="F92" s="1" t="s">
        <v>856</v>
      </c>
      <c r="G92" s="1" t="s">
        <v>718</v>
      </c>
      <c r="H92" s="1" t="s">
        <v>748</v>
      </c>
      <c r="I92" s="1">
        <v>43922</v>
      </c>
      <c r="J92" s="1">
        <v>45865.38480324074</v>
      </c>
      <c r="K92" s="1">
        <v>45865.38480324074</v>
      </c>
      <c r="L92" s="1" t="s">
        <v>750</v>
      </c>
      <c r="M92" s="1">
        <v>1</v>
      </c>
      <c r="AA92" s="12" t="s">
        <v>724</v>
      </c>
      <c r="AB92" s="12">
        <v>8</v>
      </c>
    </row>
    <row r="93" spans="1:28" x14ac:dyDescent="0.3">
      <c r="A93" s="1">
        <v>2023</v>
      </c>
      <c r="B93" s="1" t="s">
        <v>714</v>
      </c>
      <c r="C93" s="1" t="s">
        <v>715</v>
      </c>
      <c r="D93" s="1" t="s">
        <v>770</v>
      </c>
      <c r="E93" s="1" t="s">
        <v>974</v>
      </c>
      <c r="F93" s="1" t="s">
        <v>973</v>
      </c>
      <c r="G93" s="1" t="s">
        <v>718</v>
      </c>
      <c r="H93" s="1" t="s">
        <v>775</v>
      </c>
      <c r="I93" s="1">
        <v>44044</v>
      </c>
      <c r="J93" s="1">
        <v>45865.394502314812</v>
      </c>
      <c r="K93" s="1">
        <v>45865.394502314812</v>
      </c>
      <c r="L93" s="1" t="s">
        <v>777</v>
      </c>
      <c r="M93" s="1">
        <v>1</v>
      </c>
      <c r="AA93" s="11" t="s">
        <v>2446</v>
      </c>
      <c r="AB93" s="11">
        <v>1</v>
      </c>
    </row>
    <row r="94" spans="1:28" x14ac:dyDescent="0.3">
      <c r="A94" s="1">
        <v>2020</v>
      </c>
      <c r="B94" s="1" t="s">
        <v>714</v>
      </c>
      <c r="C94" s="1" t="s">
        <v>715</v>
      </c>
      <c r="D94" s="1" t="s">
        <v>751</v>
      </c>
      <c r="E94" s="1" t="s">
        <v>753</v>
      </c>
      <c r="F94" s="1" t="s">
        <v>752</v>
      </c>
      <c r="G94" s="1" t="s">
        <v>718</v>
      </c>
      <c r="H94" s="1" t="s">
        <v>796</v>
      </c>
      <c r="I94" s="1">
        <v>44197</v>
      </c>
      <c r="J94" s="1">
        <v>45865.374305555553</v>
      </c>
      <c r="K94" s="1">
        <v>45865.374305555553</v>
      </c>
      <c r="L94" s="1" t="s">
        <v>798</v>
      </c>
      <c r="M94" s="1">
        <v>1</v>
      </c>
      <c r="AA94" s="12" t="s">
        <v>1524</v>
      </c>
      <c r="AB94" s="12">
        <v>6</v>
      </c>
    </row>
    <row r="95" spans="1:28" x14ac:dyDescent="0.3">
      <c r="A95" s="1">
        <v>2022</v>
      </c>
      <c r="B95" s="1" t="s">
        <v>714</v>
      </c>
      <c r="C95" s="1" t="s">
        <v>715</v>
      </c>
      <c r="D95" s="1" t="s">
        <v>751</v>
      </c>
      <c r="E95" s="1" t="s">
        <v>879</v>
      </c>
      <c r="F95" s="1" t="s">
        <v>878</v>
      </c>
      <c r="G95" s="1" t="s">
        <v>718</v>
      </c>
      <c r="H95" s="1" t="s">
        <v>808</v>
      </c>
      <c r="I95" s="1">
        <v>44501</v>
      </c>
      <c r="J95" s="1">
        <v>45865.374305555553</v>
      </c>
      <c r="K95" s="1">
        <v>45865.374305555553</v>
      </c>
      <c r="L95" s="1" t="s">
        <v>810</v>
      </c>
      <c r="M95" s="1">
        <v>1</v>
      </c>
      <c r="AA95" s="12" t="s">
        <v>730</v>
      </c>
      <c r="AB95" s="12">
        <v>13</v>
      </c>
    </row>
    <row r="96" spans="1:28" x14ac:dyDescent="0.3">
      <c r="A96" s="1">
        <v>2024</v>
      </c>
      <c r="B96" s="1" t="s">
        <v>714</v>
      </c>
      <c r="C96" s="1" t="s">
        <v>715</v>
      </c>
      <c r="D96" s="1" t="s">
        <v>1246</v>
      </c>
      <c r="E96" s="1" t="s">
        <v>1248</v>
      </c>
      <c r="F96" s="1" t="s">
        <v>1247</v>
      </c>
      <c r="G96" s="1" t="s">
        <v>718</v>
      </c>
      <c r="H96" s="1" t="s">
        <v>819</v>
      </c>
      <c r="I96" s="1">
        <v>44501</v>
      </c>
      <c r="J96" s="1">
        <v>45865.38480324074</v>
      </c>
      <c r="K96" s="1">
        <v>45865.38480324074</v>
      </c>
      <c r="L96" s="1" t="s">
        <v>821</v>
      </c>
      <c r="M96" s="1">
        <v>1</v>
      </c>
      <c r="AA96" s="11" t="s">
        <v>778</v>
      </c>
      <c r="AB96" s="11">
        <v>3</v>
      </c>
    </row>
    <row r="97" spans="1:28" x14ac:dyDescent="0.3">
      <c r="A97" s="1">
        <v>2024</v>
      </c>
      <c r="B97" s="1" t="s">
        <v>714</v>
      </c>
      <c r="C97" s="1" t="s">
        <v>715</v>
      </c>
      <c r="D97" s="1" t="s">
        <v>1246</v>
      </c>
      <c r="E97" s="1" t="s">
        <v>1272</v>
      </c>
      <c r="F97" s="1" t="s">
        <v>1271</v>
      </c>
      <c r="G97" s="1" t="s">
        <v>718</v>
      </c>
      <c r="H97" s="1" t="s">
        <v>824</v>
      </c>
      <c r="I97" s="1">
        <v>44197</v>
      </c>
      <c r="J97" s="1">
        <v>45865.38480324074</v>
      </c>
      <c r="K97" s="1">
        <v>45865.38480324074</v>
      </c>
      <c r="L97" s="1" t="s">
        <v>826</v>
      </c>
      <c r="M97" s="1">
        <v>1</v>
      </c>
      <c r="AA97" s="11" t="s">
        <v>639</v>
      </c>
      <c r="AB97" s="11">
        <v>1</v>
      </c>
    </row>
    <row r="98" spans="1:28" x14ac:dyDescent="0.3">
      <c r="A98" s="1">
        <v>2024</v>
      </c>
      <c r="B98" s="1" t="s">
        <v>714</v>
      </c>
      <c r="C98" s="1" t="s">
        <v>715</v>
      </c>
      <c r="D98" s="1" t="s">
        <v>1334</v>
      </c>
      <c r="E98" s="1" t="s">
        <v>1336</v>
      </c>
      <c r="F98" s="1" t="s">
        <v>1335</v>
      </c>
      <c r="G98" s="1" t="s">
        <v>718</v>
      </c>
      <c r="H98" s="1" t="s">
        <v>902</v>
      </c>
      <c r="I98" s="1">
        <v>44835</v>
      </c>
      <c r="J98" s="1">
        <v>45865.384814814817</v>
      </c>
      <c r="K98" s="1">
        <v>45865.384814814817</v>
      </c>
      <c r="L98" s="1" t="s">
        <v>904</v>
      </c>
      <c r="M98" s="1">
        <v>1</v>
      </c>
      <c r="AA98" s="11" t="s">
        <v>848</v>
      </c>
      <c r="AB98" s="11">
        <v>2</v>
      </c>
    </row>
    <row r="99" spans="1:28" x14ac:dyDescent="0.3">
      <c r="A99" s="1">
        <v>2025</v>
      </c>
      <c r="B99" s="1" t="s">
        <v>714</v>
      </c>
      <c r="C99" s="1" t="s">
        <v>715</v>
      </c>
      <c r="D99" s="1" t="s">
        <v>910</v>
      </c>
      <c r="E99" s="1" t="s">
        <v>1480</v>
      </c>
      <c r="F99" s="1" t="s">
        <v>1479</v>
      </c>
      <c r="G99" s="1" t="s">
        <v>718</v>
      </c>
      <c r="H99" s="1" t="s">
        <v>932</v>
      </c>
      <c r="I99" s="1">
        <v>45078</v>
      </c>
      <c r="J99" s="1">
        <v>45865.374305555553</v>
      </c>
      <c r="K99" s="1">
        <v>45865.374305555553</v>
      </c>
      <c r="L99" s="1" t="s">
        <v>934</v>
      </c>
      <c r="M99" s="1">
        <v>1</v>
      </c>
      <c r="AA99" s="11" t="s">
        <v>1583</v>
      </c>
      <c r="AB99" s="11">
        <v>1</v>
      </c>
    </row>
    <row r="100" spans="1:28" x14ac:dyDescent="0.3">
      <c r="A100" s="1">
        <v>2025</v>
      </c>
      <c r="B100" s="1" t="s">
        <v>714</v>
      </c>
      <c r="C100" s="1" t="s">
        <v>715</v>
      </c>
      <c r="D100" s="1" t="s">
        <v>1408</v>
      </c>
      <c r="E100" s="1" t="s">
        <v>1410</v>
      </c>
      <c r="F100" s="1" t="s">
        <v>1409</v>
      </c>
      <c r="G100" s="1" t="s">
        <v>718</v>
      </c>
      <c r="H100" s="1" t="s">
        <v>942</v>
      </c>
      <c r="I100" s="1">
        <v>44986</v>
      </c>
      <c r="J100" s="1">
        <v>45865.374305555553</v>
      </c>
      <c r="K100" s="1">
        <v>45865.374305555553</v>
      </c>
      <c r="L100" s="1" t="s">
        <v>944</v>
      </c>
      <c r="M100" s="1">
        <v>1</v>
      </c>
      <c r="AA100" s="11" t="s">
        <v>1995</v>
      </c>
      <c r="AB100" s="11">
        <v>1</v>
      </c>
    </row>
    <row r="101" spans="1:28" x14ac:dyDescent="0.3">
      <c r="A101" s="1">
        <v>2024</v>
      </c>
      <c r="B101" s="1" t="s">
        <v>714</v>
      </c>
      <c r="C101" s="1" t="s">
        <v>715</v>
      </c>
      <c r="D101" s="1" t="s">
        <v>1010</v>
      </c>
      <c r="E101" s="1" t="s">
        <v>1157</v>
      </c>
      <c r="F101" s="1" t="s">
        <v>1156</v>
      </c>
      <c r="G101" s="1" t="s">
        <v>718</v>
      </c>
      <c r="H101" s="1" t="s">
        <v>956</v>
      </c>
      <c r="I101" s="1">
        <v>44958</v>
      </c>
      <c r="J101" s="1">
        <v>45865.374305555553</v>
      </c>
      <c r="K101" s="1">
        <v>45865.374305555553</v>
      </c>
      <c r="L101" s="1" t="s">
        <v>958</v>
      </c>
      <c r="M101" s="1">
        <v>1</v>
      </c>
      <c r="AA101" s="11" t="s">
        <v>994</v>
      </c>
      <c r="AB101" s="11">
        <v>2</v>
      </c>
    </row>
    <row r="102" spans="1:28" x14ac:dyDescent="0.3">
      <c r="A102" s="1">
        <v>2025</v>
      </c>
      <c r="B102" s="1" t="s">
        <v>714</v>
      </c>
      <c r="C102" s="1" t="s">
        <v>715</v>
      </c>
      <c r="D102" s="1" t="s">
        <v>1437</v>
      </c>
      <c r="E102" s="1" t="s">
        <v>1439</v>
      </c>
      <c r="F102" s="1" t="s">
        <v>1438</v>
      </c>
      <c r="G102" s="1" t="s">
        <v>718</v>
      </c>
      <c r="H102" s="1" t="s">
        <v>961</v>
      </c>
      <c r="I102" s="1">
        <v>45108</v>
      </c>
      <c r="J102" s="1">
        <v>45865.374305555553</v>
      </c>
      <c r="K102" s="1">
        <v>45865.374305555553</v>
      </c>
      <c r="L102" s="1" t="s">
        <v>964</v>
      </c>
      <c r="M102" s="1">
        <v>1</v>
      </c>
      <c r="AA102" s="11" t="s">
        <v>853</v>
      </c>
      <c r="AB102" s="11">
        <v>4</v>
      </c>
    </row>
    <row r="103" spans="1:28" x14ac:dyDescent="0.3">
      <c r="A103" s="1">
        <v>2020</v>
      </c>
      <c r="B103" s="1" t="s">
        <v>714</v>
      </c>
      <c r="C103" s="1" t="s">
        <v>715</v>
      </c>
      <c r="D103" s="1" t="s">
        <v>715</v>
      </c>
      <c r="E103" s="1" t="s">
        <v>717</v>
      </c>
      <c r="F103" s="1" t="s">
        <v>716</v>
      </c>
      <c r="G103" s="1" t="s">
        <v>718</v>
      </c>
      <c r="H103" s="1" t="s">
        <v>975</v>
      </c>
      <c r="I103" s="1">
        <v>45017</v>
      </c>
      <c r="J103" s="1">
        <v>45865.38480324074</v>
      </c>
      <c r="K103" s="1">
        <v>45865.38480324074</v>
      </c>
      <c r="L103" s="1" t="s">
        <v>977</v>
      </c>
      <c r="M103" s="1">
        <v>1</v>
      </c>
      <c r="AA103" s="11" t="s">
        <v>17</v>
      </c>
      <c r="AB103" s="11">
        <v>1</v>
      </c>
    </row>
    <row r="104" spans="1:28" x14ac:dyDescent="0.3">
      <c r="A104" s="1">
        <v>2023</v>
      </c>
      <c r="B104" s="1" t="s">
        <v>714</v>
      </c>
      <c r="C104" s="1" t="s">
        <v>715</v>
      </c>
      <c r="D104" s="1" t="s">
        <v>715</v>
      </c>
      <c r="E104" s="1" t="s">
        <v>941</v>
      </c>
      <c r="F104" s="1" t="s">
        <v>940</v>
      </c>
      <c r="G104" s="1" t="s">
        <v>718</v>
      </c>
      <c r="H104" s="1" t="s">
        <v>1001</v>
      </c>
      <c r="I104" s="1">
        <v>45261</v>
      </c>
      <c r="J104" s="1">
        <v>45865.394502314812</v>
      </c>
      <c r="K104" s="1">
        <v>45865.394502314812</v>
      </c>
      <c r="L104" s="1" t="s">
        <v>1003</v>
      </c>
      <c r="M104" s="1">
        <v>1</v>
      </c>
      <c r="AA104" s="12" t="s">
        <v>793</v>
      </c>
      <c r="AB104" s="12">
        <v>7</v>
      </c>
    </row>
    <row r="105" spans="1:28" x14ac:dyDescent="0.3">
      <c r="A105" s="1">
        <v>2023</v>
      </c>
      <c r="B105" s="1" t="s">
        <v>714</v>
      </c>
      <c r="C105" s="1" t="s">
        <v>715</v>
      </c>
      <c r="D105" s="1" t="s">
        <v>715</v>
      </c>
      <c r="E105" s="1" t="s">
        <v>960</v>
      </c>
      <c r="F105" s="1" t="s">
        <v>959</v>
      </c>
      <c r="G105" s="1" t="s">
        <v>718</v>
      </c>
      <c r="H105" s="1" t="s">
        <v>1007</v>
      </c>
      <c r="I105" s="1">
        <v>45231</v>
      </c>
      <c r="J105" s="1">
        <v>45865.394502314812</v>
      </c>
      <c r="K105" s="1">
        <v>45865.394502314812</v>
      </c>
      <c r="L105" s="1" t="s">
        <v>1009</v>
      </c>
      <c r="M105" s="1">
        <v>1</v>
      </c>
      <c r="AA105" s="12" t="s">
        <v>1578</v>
      </c>
      <c r="AB105" s="12">
        <v>6</v>
      </c>
    </row>
    <row r="106" spans="1:28" x14ac:dyDescent="0.3">
      <c r="A106" s="1">
        <v>2024</v>
      </c>
      <c r="B106" s="1" t="s">
        <v>714</v>
      </c>
      <c r="C106" s="1" t="s">
        <v>715</v>
      </c>
      <c r="D106" s="1" t="s">
        <v>715</v>
      </c>
      <c r="E106" s="1" t="s">
        <v>1030</v>
      </c>
      <c r="F106" s="1" t="s">
        <v>1029</v>
      </c>
      <c r="G106" s="1" t="s">
        <v>718</v>
      </c>
      <c r="H106" s="1" t="s">
        <v>1020</v>
      </c>
      <c r="I106" s="1">
        <v>45413</v>
      </c>
      <c r="J106" s="1">
        <v>45865.374305555553</v>
      </c>
      <c r="K106" s="1">
        <v>45865.374305555553</v>
      </c>
      <c r="L106" s="1" t="s">
        <v>1023</v>
      </c>
      <c r="M106" s="1">
        <v>1</v>
      </c>
      <c r="AA106" s="11" t="s">
        <v>1585</v>
      </c>
      <c r="AB106" s="11">
        <v>1</v>
      </c>
    </row>
    <row r="107" spans="1:28" x14ac:dyDescent="0.3">
      <c r="A107" s="1">
        <v>2024</v>
      </c>
      <c r="B107" s="1" t="s">
        <v>714</v>
      </c>
      <c r="C107" s="1" t="s">
        <v>715</v>
      </c>
      <c r="D107" s="1" t="s">
        <v>715</v>
      </c>
      <c r="E107" s="1" t="s">
        <v>1040</v>
      </c>
      <c r="F107" s="1" t="s">
        <v>1039</v>
      </c>
      <c r="G107" s="1" t="s">
        <v>718</v>
      </c>
      <c r="H107" s="1" t="s">
        <v>1026</v>
      </c>
      <c r="I107" s="1">
        <v>45597</v>
      </c>
      <c r="J107" s="1">
        <v>45865.374305555553</v>
      </c>
      <c r="K107" s="1">
        <v>45865.374305555553</v>
      </c>
      <c r="L107" s="1" t="s">
        <v>1028</v>
      </c>
      <c r="M107" s="1">
        <v>1</v>
      </c>
      <c r="AA107" s="11" t="s">
        <v>2513</v>
      </c>
      <c r="AB107" s="11">
        <v>1</v>
      </c>
    </row>
    <row r="108" spans="1:28" x14ac:dyDescent="0.3">
      <c r="A108" s="1">
        <v>2024</v>
      </c>
      <c r="B108" s="1" t="s">
        <v>714</v>
      </c>
      <c r="C108" s="1" t="s">
        <v>715</v>
      </c>
      <c r="D108" s="1" t="s">
        <v>715</v>
      </c>
      <c r="E108" s="1" t="s">
        <v>1048</v>
      </c>
      <c r="F108" s="1" t="s">
        <v>1047</v>
      </c>
      <c r="G108" s="1" t="s">
        <v>718</v>
      </c>
      <c r="H108" s="1" t="s">
        <v>1031</v>
      </c>
      <c r="I108" s="1">
        <v>45505</v>
      </c>
      <c r="J108" s="1">
        <v>45865.374305555553</v>
      </c>
      <c r="K108" s="1">
        <v>45865.374305555553</v>
      </c>
      <c r="L108" s="1" t="s">
        <v>1033</v>
      </c>
      <c r="M108" s="1">
        <v>1</v>
      </c>
      <c r="AA108" s="11" t="s">
        <v>1465</v>
      </c>
      <c r="AB108" s="11">
        <v>2</v>
      </c>
    </row>
    <row r="109" spans="1:28" x14ac:dyDescent="0.3">
      <c r="A109" s="1">
        <v>2024</v>
      </c>
      <c r="B109" s="1" t="s">
        <v>714</v>
      </c>
      <c r="C109" s="1" t="s">
        <v>715</v>
      </c>
      <c r="D109" s="1" t="s">
        <v>715</v>
      </c>
      <c r="E109" s="1" t="s">
        <v>1059</v>
      </c>
      <c r="F109" s="1" t="s">
        <v>1058</v>
      </c>
      <c r="G109" s="1" t="s">
        <v>718</v>
      </c>
      <c r="H109" s="1" t="s">
        <v>1041</v>
      </c>
      <c r="I109" s="1">
        <v>45383</v>
      </c>
      <c r="J109" s="1">
        <v>45865.374305555553</v>
      </c>
      <c r="K109" s="1">
        <v>45865.374305555553</v>
      </c>
      <c r="L109" s="1" t="s">
        <v>1043</v>
      </c>
      <c r="M109" s="1">
        <v>1</v>
      </c>
      <c r="AA109" s="11" t="s">
        <v>2953</v>
      </c>
      <c r="AB109" s="11">
        <v>1</v>
      </c>
    </row>
    <row r="110" spans="1:28" x14ac:dyDescent="0.3">
      <c r="A110" s="1">
        <v>2024</v>
      </c>
      <c r="B110" s="1" t="s">
        <v>714</v>
      </c>
      <c r="C110" s="1" t="s">
        <v>715</v>
      </c>
      <c r="D110" s="1" t="s">
        <v>715</v>
      </c>
      <c r="E110" s="1" t="s">
        <v>1069</v>
      </c>
      <c r="F110" s="1" t="s">
        <v>1068</v>
      </c>
      <c r="G110" s="1" t="s">
        <v>718</v>
      </c>
      <c r="H110" s="1" t="s">
        <v>1049</v>
      </c>
      <c r="I110" s="1">
        <v>45352</v>
      </c>
      <c r="J110" s="1">
        <v>45865.374305555553</v>
      </c>
      <c r="K110" s="1">
        <v>45865.374305555553</v>
      </c>
      <c r="L110" s="1" t="s">
        <v>1051</v>
      </c>
      <c r="M110" s="1">
        <v>1</v>
      </c>
      <c r="AA110" s="12" t="s">
        <v>1621</v>
      </c>
      <c r="AB110" s="12">
        <v>5</v>
      </c>
    </row>
    <row r="111" spans="1:28" x14ac:dyDescent="0.3">
      <c r="A111" s="1">
        <v>2024</v>
      </c>
      <c r="B111" s="1" t="s">
        <v>714</v>
      </c>
      <c r="C111" s="1" t="s">
        <v>715</v>
      </c>
      <c r="D111" s="1" t="s">
        <v>715</v>
      </c>
      <c r="E111" s="1" t="s">
        <v>1077</v>
      </c>
      <c r="F111" s="1" t="s">
        <v>1076</v>
      </c>
      <c r="G111" s="1" t="s">
        <v>718</v>
      </c>
      <c r="H111" s="1" t="s">
        <v>1054</v>
      </c>
      <c r="I111" s="1">
        <v>45413</v>
      </c>
      <c r="J111" s="1">
        <v>45865.374305555553</v>
      </c>
      <c r="K111" s="1">
        <v>45865.374305555553</v>
      </c>
      <c r="L111" s="1" t="s">
        <v>1057</v>
      </c>
      <c r="M111" s="1">
        <v>1</v>
      </c>
      <c r="AA111" s="11" t="s">
        <v>1606</v>
      </c>
      <c r="AB111" s="11">
        <v>4</v>
      </c>
    </row>
    <row r="112" spans="1:28" x14ac:dyDescent="0.3">
      <c r="A112" s="1">
        <v>2024</v>
      </c>
      <c r="B112" s="1" t="s">
        <v>714</v>
      </c>
      <c r="C112" s="1" t="s">
        <v>715</v>
      </c>
      <c r="D112" s="1" t="s">
        <v>715</v>
      </c>
      <c r="E112" s="1" t="s">
        <v>1089</v>
      </c>
      <c r="F112" s="1" t="s">
        <v>1088</v>
      </c>
      <c r="G112" s="1" t="s">
        <v>718</v>
      </c>
      <c r="H112" s="1" t="s">
        <v>1060</v>
      </c>
      <c r="I112" s="1">
        <v>45505</v>
      </c>
      <c r="J112" s="1">
        <v>45865.374305555553</v>
      </c>
      <c r="K112" s="1">
        <v>45865.374305555553</v>
      </c>
      <c r="L112" s="1" t="s">
        <v>1062</v>
      </c>
      <c r="M112" s="1">
        <v>1</v>
      </c>
      <c r="AA112" s="11" t="s">
        <v>1635</v>
      </c>
      <c r="AB112" s="11">
        <v>4</v>
      </c>
    </row>
    <row r="113" spans="1:28" x14ac:dyDescent="0.3">
      <c r="A113" s="1">
        <v>2024</v>
      </c>
      <c r="B113" s="1" t="s">
        <v>714</v>
      </c>
      <c r="C113" s="1" t="s">
        <v>715</v>
      </c>
      <c r="D113" s="1" t="s">
        <v>715</v>
      </c>
      <c r="E113" s="1" t="s">
        <v>1098</v>
      </c>
      <c r="F113" s="1" t="s">
        <v>1097</v>
      </c>
      <c r="G113" s="1" t="s">
        <v>718</v>
      </c>
      <c r="H113" s="1" t="s">
        <v>1070</v>
      </c>
      <c r="I113" s="1">
        <v>45597</v>
      </c>
      <c r="J113" s="1">
        <v>45865.374305555553</v>
      </c>
      <c r="K113" s="1">
        <v>45865.374305555553</v>
      </c>
      <c r="L113" s="1" t="s">
        <v>1072</v>
      </c>
      <c r="M113" s="1">
        <v>1</v>
      </c>
      <c r="AA113" s="11" t="s">
        <v>1612</v>
      </c>
      <c r="AB113" s="11">
        <v>2</v>
      </c>
    </row>
    <row r="114" spans="1:28" x14ac:dyDescent="0.3">
      <c r="A114" s="1">
        <v>2024</v>
      </c>
      <c r="B114" s="1" t="s">
        <v>714</v>
      </c>
      <c r="C114" s="1" t="s">
        <v>715</v>
      </c>
      <c r="D114" s="1" t="s">
        <v>715</v>
      </c>
      <c r="E114" s="1" t="s">
        <v>1107</v>
      </c>
      <c r="F114" s="1" t="s">
        <v>1106</v>
      </c>
      <c r="G114" s="1" t="s">
        <v>718</v>
      </c>
      <c r="H114" s="1" t="s">
        <v>1078</v>
      </c>
      <c r="I114" s="1">
        <v>45474</v>
      </c>
      <c r="J114" s="1">
        <v>45865.374305555553</v>
      </c>
      <c r="K114" s="1">
        <v>45865.374305555553</v>
      </c>
      <c r="L114" s="1" t="s">
        <v>1080</v>
      </c>
      <c r="M114" s="1">
        <v>1</v>
      </c>
      <c r="AA114" s="11" t="s">
        <v>2818</v>
      </c>
      <c r="AB114" s="11">
        <v>2</v>
      </c>
    </row>
    <row r="115" spans="1:28" x14ac:dyDescent="0.3">
      <c r="A115" s="1">
        <v>2024</v>
      </c>
      <c r="B115" s="1" t="s">
        <v>714</v>
      </c>
      <c r="C115" s="1" t="s">
        <v>715</v>
      </c>
      <c r="D115" s="1" t="s">
        <v>715</v>
      </c>
      <c r="E115" s="1" t="s">
        <v>1114</v>
      </c>
      <c r="F115" s="1" t="s">
        <v>1113</v>
      </c>
      <c r="G115" s="1" t="s">
        <v>718</v>
      </c>
      <c r="H115" s="1" t="s">
        <v>1090</v>
      </c>
      <c r="I115" s="1">
        <v>45597</v>
      </c>
      <c r="J115" s="1">
        <v>45865.374305555553</v>
      </c>
      <c r="K115" s="1">
        <v>45865.374305555553</v>
      </c>
      <c r="L115" s="1" t="s">
        <v>1092</v>
      </c>
      <c r="M115" s="1">
        <v>1</v>
      </c>
      <c r="AA115" s="11" t="s">
        <v>2325</v>
      </c>
      <c r="AB115" s="11">
        <v>1</v>
      </c>
    </row>
    <row r="116" spans="1:28" x14ac:dyDescent="0.3">
      <c r="A116" s="1">
        <v>2024</v>
      </c>
      <c r="B116" s="1" t="s">
        <v>714</v>
      </c>
      <c r="C116" s="1" t="s">
        <v>715</v>
      </c>
      <c r="D116" s="1" t="s">
        <v>715</v>
      </c>
      <c r="E116" s="1" t="s">
        <v>1124</v>
      </c>
      <c r="F116" s="1" t="s">
        <v>1123</v>
      </c>
      <c r="G116" s="1" t="s">
        <v>718</v>
      </c>
      <c r="H116" s="1" t="s">
        <v>1094</v>
      </c>
      <c r="I116" s="1">
        <v>45352</v>
      </c>
      <c r="J116" s="1">
        <v>45865.374305555553</v>
      </c>
      <c r="K116" s="1">
        <v>45865.374305555553</v>
      </c>
      <c r="L116" s="1" t="s">
        <v>1096</v>
      </c>
      <c r="M116" s="1">
        <v>1</v>
      </c>
      <c r="AA116" s="11" t="s">
        <v>710</v>
      </c>
      <c r="AB116" s="11">
        <v>1</v>
      </c>
    </row>
    <row r="117" spans="1:28" x14ac:dyDescent="0.3">
      <c r="A117" s="1">
        <v>2024</v>
      </c>
      <c r="B117" s="1" t="s">
        <v>714</v>
      </c>
      <c r="C117" s="1" t="s">
        <v>715</v>
      </c>
      <c r="D117" s="1" t="s">
        <v>715</v>
      </c>
      <c r="E117" s="1" t="s">
        <v>1129</v>
      </c>
      <c r="F117" s="1" t="s">
        <v>1128</v>
      </c>
      <c r="G117" s="1" t="s">
        <v>718</v>
      </c>
      <c r="H117" s="1" t="s">
        <v>1099</v>
      </c>
      <c r="I117" s="1">
        <v>45323</v>
      </c>
      <c r="J117" s="1">
        <v>45865.374305555553</v>
      </c>
      <c r="K117" s="1">
        <v>45865.374305555553</v>
      </c>
      <c r="L117" s="1" t="s">
        <v>1101</v>
      </c>
      <c r="M117" s="1">
        <v>1</v>
      </c>
      <c r="AA117" s="11" t="s">
        <v>790</v>
      </c>
      <c r="AB117" s="11">
        <v>1</v>
      </c>
    </row>
    <row r="118" spans="1:28" x14ac:dyDescent="0.3">
      <c r="A118" s="1">
        <v>2024</v>
      </c>
      <c r="B118" s="1" t="s">
        <v>714</v>
      </c>
      <c r="C118" s="1" t="s">
        <v>715</v>
      </c>
      <c r="D118" s="1" t="s">
        <v>715</v>
      </c>
      <c r="E118" s="1" t="s">
        <v>1144</v>
      </c>
      <c r="F118" s="1" t="s">
        <v>1143</v>
      </c>
      <c r="G118" s="1" t="s">
        <v>718</v>
      </c>
      <c r="H118" s="1" t="s">
        <v>1103</v>
      </c>
      <c r="I118" s="1">
        <v>45505</v>
      </c>
      <c r="J118" s="1">
        <v>45865.374305555553</v>
      </c>
      <c r="K118" s="1">
        <v>45865.374305555553</v>
      </c>
      <c r="L118" s="1" t="s">
        <v>1105</v>
      </c>
      <c r="M118" s="1">
        <v>1</v>
      </c>
      <c r="AA118" s="11" t="s">
        <v>1516</v>
      </c>
      <c r="AB118" s="11">
        <v>1</v>
      </c>
    </row>
    <row r="119" spans="1:28" x14ac:dyDescent="0.3">
      <c r="A119" s="1">
        <v>2024</v>
      </c>
      <c r="B119" s="1" t="s">
        <v>714</v>
      </c>
      <c r="C119" s="1" t="s">
        <v>715</v>
      </c>
      <c r="D119" s="1" t="s">
        <v>715</v>
      </c>
      <c r="E119" s="1" t="s">
        <v>1162</v>
      </c>
      <c r="F119" s="1" t="s">
        <v>1161</v>
      </c>
      <c r="G119" s="1" t="s">
        <v>718</v>
      </c>
      <c r="H119" s="1" t="s">
        <v>1110</v>
      </c>
      <c r="I119" s="1">
        <v>45383</v>
      </c>
      <c r="J119" s="1">
        <v>45865.374305555553</v>
      </c>
      <c r="K119" s="1">
        <v>45865.374305555553</v>
      </c>
      <c r="L119" s="1" t="s">
        <v>1112</v>
      </c>
      <c r="M119" s="1">
        <v>1</v>
      </c>
      <c r="AA119" s="11" t="s">
        <v>2619</v>
      </c>
      <c r="AB119" s="11">
        <v>1</v>
      </c>
    </row>
    <row r="120" spans="1:28" x14ac:dyDescent="0.3">
      <c r="A120" s="1">
        <v>2024</v>
      </c>
      <c r="B120" s="1" t="s">
        <v>714</v>
      </c>
      <c r="C120" s="1" t="s">
        <v>715</v>
      </c>
      <c r="D120" s="1" t="s">
        <v>715</v>
      </c>
      <c r="E120" s="1" t="s">
        <v>1167</v>
      </c>
      <c r="F120" s="1" t="s">
        <v>1166</v>
      </c>
      <c r="G120" s="1" t="s">
        <v>718</v>
      </c>
      <c r="H120" s="1" t="s">
        <v>1115</v>
      </c>
      <c r="I120" s="1">
        <v>45444</v>
      </c>
      <c r="J120" s="1">
        <v>45865.374305555553</v>
      </c>
      <c r="K120" s="1">
        <v>45865.374305555553</v>
      </c>
      <c r="L120" s="1" t="s">
        <v>1117</v>
      </c>
      <c r="M120" s="1">
        <v>1</v>
      </c>
      <c r="AA120" s="11" t="s">
        <v>2036</v>
      </c>
      <c r="AB120" s="11">
        <v>3</v>
      </c>
    </row>
    <row r="121" spans="1:28" x14ac:dyDescent="0.3">
      <c r="A121" s="1">
        <v>2024</v>
      </c>
      <c r="B121" s="1" t="s">
        <v>714</v>
      </c>
      <c r="C121" s="1" t="s">
        <v>715</v>
      </c>
      <c r="D121" s="1" t="s">
        <v>715</v>
      </c>
      <c r="E121" s="1" t="s">
        <v>1189</v>
      </c>
      <c r="F121" s="1" t="s">
        <v>1188</v>
      </c>
      <c r="G121" s="1" t="s">
        <v>718</v>
      </c>
      <c r="H121" s="1" t="s">
        <v>1125</v>
      </c>
      <c r="I121" s="1">
        <v>45413</v>
      </c>
      <c r="J121" s="1">
        <v>45865.374305555553</v>
      </c>
      <c r="K121" s="1">
        <v>45865.374305555553</v>
      </c>
      <c r="L121" s="1" t="s">
        <v>1127</v>
      </c>
      <c r="M121" s="1">
        <v>1</v>
      </c>
      <c r="AA121" s="11" t="s">
        <v>2986</v>
      </c>
      <c r="AB121" s="11">
        <v>386</v>
      </c>
    </row>
    <row r="122" spans="1:28" x14ac:dyDescent="0.3">
      <c r="A122" s="1">
        <v>2024</v>
      </c>
      <c r="B122" s="1" t="s">
        <v>714</v>
      </c>
      <c r="C122" s="1" t="s">
        <v>715</v>
      </c>
      <c r="D122" s="1" t="s">
        <v>715</v>
      </c>
      <c r="E122" s="1" t="s">
        <v>1194</v>
      </c>
      <c r="F122" s="1" t="s">
        <v>1193</v>
      </c>
      <c r="G122" s="1" t="s">
        <v>718</v>
      </c>
      <c r="H122" s="1" t="s">
        <v>1130</v>
      </c>
      <c r="I122" s="1">
        <v>45627</v>
      </c>
      <c r="J122" s="1">
        <v>45865.374305555553</v>
      </c>
      <c r="K122" s="1">
        <v>45865.374305555553</v>
      </c>
      <c r="L122" s="1" t="s">
        <v>1132</v>
      </c>
      <c r="M122" s="1">
        <v>1</v>
      </c>
    </row>
    <row r="123" spans="1:28" x14ac:dyDescent="0.3">
      <c r="A123" s="1">
        <v>2024</v>
      </c>
      <c r="B123" s="1" t="s">
        <v>714</v>
      </c>
      <c r="C123" s="1" t="s">
        <v>715</v>
      </c>
      <c r="D123" s="1" t="s">
        <v>715</v>
      </c>
      <c r="E123" s="1" t="s">
        <v>1224</v>
      </c>
      <c r="F123" s="1" t="s">
        <v>1223</v>
      </c>
      <c r="G123" s="1" t="s">
        <v>718</v>
      </c>
      <c r="H123" s="1" t="s">
        <v>1145</v>
      </c>
      <c r="I123" s="1">
        <v>45413</v>
      </c>
      <c r="J123" s="1">
        <v>45865.374305555553</v>
      </c>
      <c r="K123" s="1">
        <v>45865.374305555553</v>
      </c>
      <c r="L123" s="1" t="s">
        <v>1147</v>
      </c>
      <c r="M123" s="1">
        <v>1</v>
      </c>
    </row>
    <row r="124" spans="1:28" x14ac:dyDescent="0.3">
      <c r="A124" s="1">
        <v>2024</v>
      </c>
      <c r="B124" s="1" t="s">
        <v>714</v>
      </c>
      <c r="C124" s="1" t="s">
        <v>715</v>
      </c>
      <c r="D124" s="1" t="s">
        <v>715</v>
      </c>
      <c r="E124" s="1" t="s">
        <v>1229</v>
      </c>
      <c r="F124" s="1" t="s">
        <v>1228</v>
      </c>
      <c r="G124" s="1" t="s">
        <v>718</v>
      </c>
      <c r="H124" s="1" t="s">
        <v>1148</v>
      </c>
      <c r="I124" s="1">
        <v>45566</v>
      </c>
      <c r="J124" s="1">
        <v>45865.374305555553</v>
      </c>
      <c r="K124" s="1">
        <v>45865.374305555553</v>
      </c>
      <c r="L124" s="1" t="s">
        <v>1150</v>
      </c>
      <c r="M124" s="1">
        <v>1</v>
      </c>
    </row>
    <row r="125" spans="1:28" x14ac:dyDescent="0.3">
      <c r="A125" s="1">
        <v>2024</v>
      </c>
      <c r="B125" s="1" t="s">
        <v>714</v>
      </c>
      <c r="C125" s="1" t="s">
        <v>715</v>
      </c>
      <c r="D125" s="1" t="s">
        <v>715</v>
      </c>
      <c r="E125" s="1" t="s">
        <v>1268</v>
      </c>
      <c r="F125" s="1" t="s">
        <v>1267</v>
      </c>
      <c r="G125" s="1" t="s">
        <v>718</v>
      </c>
      <c r="H125" s="1" t="s">
        <v>1163</v>
      </c>
      <c r="I125" s="1">
        <v>45383</v>
      </c>
      <c r="J125" s="1">
        <v>45865.374305555553</v>
      </c>
      <c r="K125" s="1">
        <v>45865.374305555553</v>
      </c>
      <c r="L125" s="1" t="s">
        <v>1165</v>
      </c>
      <c r="M125" s="1">
        <v>1</v>
      </c>
    </row>
    <row r="126" spans="1:28" x14ac:dyDescent="0.3">
      <c r="A126" s="1">
        <v>2024</v>
      </c>
      <c r="B126" s="1" t="s">
        <v>714</v>
      </c>
      <c r="C126" s="1" t="s">
        <v>715</v>
      </c>
      <c r="D126" s="1" t="s">
        <v>715</v>
      </c>
      <c r="E126" s="1" t="s">
        <v>1270</v>
      </c>
      <c r="F126" s="1" t="s">
        <v>1269</v>
      </c>
      <c r="G126" s="1" t="s">
        <v>718</v>
      </c>
      <c r="H126" s="1" t="s">
        <v>1168</v>
      </c>
      <c r="I126" s="1">
        <v>45383</v>
      </c>
      <c r="J126" s="1">
        <v>45865.374305555553</v>
      </c>
      <c r="K126" s="1">
        <v>45865.374305555553</v>
      </c>
      <c r="L126" s="1" t="s">
        <v>1170</v>
      </c>
      <c r="M126" s="1">
        <v>1</v>
      </c>
    </row>
    <row r="127" spans="1:28" x14ac:dyDescent="0.3">
      <c r="A127" s="1">
        <v>2024</v>
      </c>
      <c r="B127" s="1" t="s">
        <v>714</v>
      </c>
      <c r="C127" s="1" t="s">
        <v>715</v>
      </c>
      <c r="D127" s="1" t="s">
        <v>715</v>
      </c>
      <c r="E127" s="1" t="s">
        <v>1288</v>
      </c>
      <c r="F127" s="1" t="s">
        <v>1287</v>
      </c>
      <c r="G127" s="1" t="s">
        <v>718</v>
      </c>
      <c r="H127" s="1" t="s">
        <v>1190</v>
      </c>
      <c r="I127" s="1">
        <v>45413</v>
      </c>
      <c r="J127" s="1">
        <v>45865.374305555553</v>
      </c>
      <c r="K127" s="1">
        <v>45865.374305555553</v>
      </c>
      <c r="L127" s="1" t="s">
        <v>1192</v>
      </c>
      <c r="M127" s="1">
        <v>1</v>
      </c>
    </row>
    <row r="128" spans="1:28" x14ac:dyDescent="0.3">
      <c r="A128" s="1">
        <v>2024</v>
      </c>
      <c r="B128" s="1" t="s">
        <v>714</v>
      </c>
      <c r="C128" s="1" t="s">
        <v>715</v>
      </c>
      <c r="D128" s="1" t="s">
        <v>715</v>
      </c>
      <c r="E128" s="1" t="s">
        <v>1293</v>
      </c>
      <c r="F128" s="1" t="s">
        <v>1292</v>
      </c>
      <c r="G128" s="1" t="s">
        <v>718</v>
      </c>
      <c r="H128" s="1" t="s">
        <v>1195</v>
      </c>
      <c r="I128" s="1">
        <v>45413</v>
      </c>
      <c r="J128" s="1">
        <v>45865.374305555553</v>
      </c>
      <c r="K128" s="1">
        <v>45865.374305555553</v>
      </c>
      <c r="L128" s="1" t="s">
        <v>1197</v>
      </c>
      <c r="M128" s="1">
        <v>1</v>
      </c>
    </row>
    <row r="129" spans="1:13" x14ac:dyDescent="0.3">
      <c r="A129" s="1">
        <v>2024</v>
      </c>
      <c r="B129" s="1" t="s">
        <v>714</v>
      </c>
      <c r="C129" s="1" t="s">
        <v>715</v>
      </c>
      <c r="D129" s="1" t="s">
        <v>715</v>
      </c>
      <c r="E129" s="1" t="s">
        <v>1307</v>
      </c>
      <c r="F129" s="1" t="s">
        <v>1306</v>
      </c>
      <c r="G129" s="1" t="s">
        <v>718</v>
      </c>
      <c r="H129" s="1" t="s">
        <v>1215</v>
      </c>
      <c r="I129" s="1">
        <v>45413</v>
      </c>
      <c r="J129" s="1">
        <v>45865.374305555553</v>
      </c>
      <c r="K129" s="1">
        <v>45865.374305555553</v>
      </c>
      <c r="L129" s="1" t="s">
        <v>1217</v>
      </c>
      <c r="M129" s="1">
        <v>1</v>
      </c>
    </row>
    <row r="130" spans="1:13" x14ac:dyDescent="0.3">
      <c r="A130" s="1">
        <v>2024</v>
      </c>
      <c r="B130" s="1" t="s">
        <v>714</v>
      </c>
      <c r="C130" s="1" t="s">
        <v>715</v>
      </c>
      <c r="D130" s="1" t="s">
        <v>715</v>
      </c>
      <c r="E130" s="1" t="s">
        <v>1309</v>
      </c>
      <c r="F130" s="1" t="s">
        <v>1308</v>
      </c>
      <c r="G130" s="1" t="s">
        <v>718</v>
      </c>
      <c r="H130" s="1" t="s">
        <v>1220</v>
      </c>
      <c r="I130" s="1">
        <v>45323</v>
      </c>
      <c r="J130" s="1">
        <v>45865.374305555553</v>
      </c>
      <c r="K130" s="1">
        <v>45865.374305555553</v>
      </c>
      <c r="L130" s="1" t="s">
        <v>1222</v>
      </c>
      <c r="M130" s="1">
        <v>1</v>
      </c>
    </row>
    <row r="131" spans="1:13" x14ac:dyDescent="0.3">
      <c r="A131" s="1">
        <v>2024</v>
      </c>
      <c r="B131" s="1" t="s">
        <v>714</v>
      </c>
      <c r="C131" s="1" t="s">
        <v>715</v>
      </c>
      <c r="D131" s="1" t="s">
        <v>715</v>
      </c>
      <c r="E131" s="1" t="s">
        <v>1314</v>
      </c>
      <c r="F131" s="1" t="s">
        <v>1313</v>
      </c>
      <c r="G131" s="1" t="s">
        <v>718</v>
      </c>
      <c r="H131" s="1" t="s">
        <v>1225</v>
      </c>
      <c r="I131" s="1">
        <v>45413</v>
      </c>
      <c r="J131" s="1">
        <v>45865.374305555553</v>
      </c>
      <c r="K131" s="1">
        <v>45865.374305555553</v>
      </c>
      <c r="L131" s="1" t="s">
        <v>1227</v>
      </c>
      <c r="M131" s="1">
        <v>1</v>
      </c>
    </row>
    <row r="132" spans="1:13" x14ac:dyDescent="0.3">
      <c r="A132" s="1">
        <v>2024</v>
      </c>
      <c r="B132" s="1" t="s">
        <v>714</v>
      </c>
      <c r="C132" s="1" t="s">
        <v>715</v>
      </c>
      <c r="D132" s="1" t="s">
        <v>715</v>
      </c>
      <c r="E132" s="1" t="s">
        <v>1321</v>
      </c>
      <c r="F132" s="1" t="s">
        <v>1320</v>
      </c>
      <c r="G132" s="1" t="s">
        <v>718</v>
      </c>
      <c r="H132" s="1" t="s">
        <v>1230</v>
      </c>
      <c r="I132" s="1">
        <v>45444</v>
      </c>
      <c r="J132" s="1">
        <v>45865.374305555553</v>
      </c>
      <c r="K132" s="1">
        <v>45865.374305555553</v>
      </c>
      <c r="L132" s="1" t="s">
        <v>1232</v>
      </c>
      <c r="M132" s="1">
        <v>1</v>
      </c>
    </row>
    <row r="133" spans="1:13" x14ac:dyDescent="0.3">
      <c r="A133" s="1">
        <v>2024</v>
      </c>
      <c r="B133" s="1" t="s">
        <v>714</v>
      </c>
      <c r="C133" s="1" t="s">
        <v>715</v>
      </c>
      <c r="D133" s="1" t="s">
        <v>715</v>
      </c>
      <c r="E133" s="1" t="s">
        <v>1323</v>
      </c>
      <c r="F133" s="1" t="s">
        <v>1322</v>
      </c>
      <c r="G133" s="1" t="s">
        <v>718</v>
      </c>
      <c r="H133" s="1" t="s">
        <v>1235</v>
      </c>
      <c r="I133" s="1">
        <v>45474</v>
      </c>
      <c r="J133" s="1">
        <v>45865.374305555553</v>
      </c>
      <c r="K133" s="1">
        <v>45865.374305555553</v>
      </c>
      <c r="L133" s="1" t="s">
        <v>1237</v>
      </c>
      <c r="M133" s="1">
        <v>1</v>
      </c>
    </row>
    <row r="134" spans="1:13" x14ac:dyDescent="0.3">
      <c r="A134" s="1">
        <v>2024</v>
      </c>
      <c r="B134" s="1" t="s">
        <v>714</v>
      </c>
      <c r="C134" s="1" t="s">
        <v>715</v>
      </c>
      <c r="D134" s="1" t="s">
        <v>715</v>
      </c>
      <c r="E134" s="1" t="s">
        <v>1330</v>
      </c>
      <c r="F134" s="1" t="s">
        <v>1329</v>
      </c>
      <c r="G134" s="1" t="s">
        <v>718</v>
      </c>
      <c r="H134" s="1" t="s">
        <v>1240</v>
      </c>
      <c r="I134" s="1">
        <v>45444</v>
      </c>
      <c r="J134" s="1">
        <v>45865.374305555553</v>
      </c>
      <c r="K134" s="1">
        <v>45865.374305555553</v>
      </c>
      <c r="L134" s="1" t="s">
        <v>1242</v>
      </c>
      <c r="M134" s="1">
        <v>1</v>
      </c>
    </row>
    <row r="135" spans="1:13" x14ac:dyDescent="0.3">
      <c r="A135" s="1">
        <v>2024</v>
      </c>
      <c r="B135" s="1" t="s">
        <v>714</v>
      </c>
      <c r="C135" s="1" t="s">
        <v>715</v>
      </c>
      <c r="D135" s="1" t="s">
        <v>967</v>
      </c>
      <c r="E135" s="1" t="s">
        <v>1257</v>
      </c>
      <c r="F135" s="1" t="s">
        <v>1256</v>
      </c>
      <c r="G135" s="1" t="s">
        <v>718</v>
      </c>
      <c r="H135" s="1" t="s">
        <v>1284</v>
      </c>
      <c r="I135" s="1">
        <v>45444</v>
      </c>
      <c r="J135" s="1">
        <v>45865.384814814817</v>
      </c>
      <c r="K135" s="1">
        <v>45865.384814814817</v>
      </c>
      <c r="L135" s="1" t="s">
        <v>1286</v>
      </c>
      <c r="M135" s="1">
        <v>1</v>
      </c>
    </row>
    <row r="136" spans="1:13" x14ac:dyDescent="0.3">
      <c r="A136" s="1">
        <v>2025</v>
      </c>
      <c r="B136" s="1" t="s">
        <v>714</v>
      </c>
      <c r="C136" s="1" t="s">
        <v>715</v>
      </c>
      <c r="D136" s="1" t="s">
        <v>967</v>
      </c>
      <c r="E136" s="1" t="s">
        <v>1366</v>
      </c>
      <c r="F136" s="1" t="s">
        <v>1365</v>
      </c>
      <c r="G136" s="1" t="s">
        <v>718</v>
      </c>
      <c r="H136" s="1" t="s">
        <v>1289</v>
      </c>
      <c r="I136" s="1">
        <v>45505</v>
      </c>
      <c r="J136" s="1">
        <v>45865.384814814817</v>
      </c>
      <c r="K136" s="1">
        <v>45865.384814814817</v>
      </c>
      <c r="L136" s="1" t="s">
        <v>1291</v>
      </c>
      <c r="M136" s="1">
        <v>1</v>
      </c>
    </row>
    <row r="137" spans="1:13" x14ac:dyDescent="0.3">
      <c r="A137" s="1">
        <v>2025</v>
      </c>
      <c r="B137" s="1" t="s">
        <v>714</v>
      </c>
      <c r="C137" s="1" t="s">
        <v>715</v>
      </c>
      <c r="D137" s="1" t="s">
        <v>967</v>
      </c>
      <c r="E137" s="1" t="s">
        <v>1487</v>
      </c>
      <c r="F137" s="1" t="s">
        <v>1486</v>
      </c>
      <c r="G137" s="1" t="s">
        <v>718</v>
      </c>
      <c r="H137" s="1" t="s">
        <v>1296</v>
      </c>
      <c r="I137" s="1">
        <v>45383</v>
      </c>
      <c r="J137" s="1">
        <v>45865.384814814817</v>
      </c>
      <c r="K137" s="1">
        <v>45865.384814814817</v>
      </c>
      <c r="L137" s="1" t="s">
        <v>1298</v>
      </c>
      <c r="M137" s="1">
        <v>1</v>
      </c>
    </row>
    <row r="138" spans="1:13" x14ac:dyDescent="0.3">
      <c r="A138" s="1">
        <v>2021</v>
      </c>
      <c r="B138" s="1" t="s">
        <v>714</v>
      </c>
      <c r="C138" s="1" t="s">
        <v>715</v>
      </c>
      <c r="D138" s="1" t="s">
        <v>799</v>
      </c>
      <c r="E138" s="1" t="s">
        <v>801</v>
      </c>
      <c r="F138" s="1" t="s">
        <v>800</v>
      </c>
      <c r="G138" s="1" t="s">
        <v>718</v>
      </c>
      <c r="H138" s="1" t="s">
        <v>1310</v>
      </c>
      <c r="I138" s="1">
        <v>45383</v>
      </c>
      <c r="J138" s="1">
        <v>45865.394490740742</v>
      </c>
      <c r="K138" s="1">
        <v>45865.394490740742</v>
      </c>
      <c r="L138" s="1" t="s">
        <v>1312</v>
      </c>
      <c r="M138" s="1">
        <v>1</v>
      </c>
    </row>
    <row r="139" spans="1:13" x14ac:dyDescent="0.3">
      <c r="A139" s="1">
        <v>2025</v>
      </c>
      <c r="B139" s="1" t="s">
        <v>714</v>
      </c>
      <c r="C139" s="1" t="s">
        <v>715</v>
      </c>
      <c r="D139" s="1" t="s">
        <v>764</v>
      </c>
      <c r="E139" s="1" t="s">
        <v>1346</v>
      </c>
      <c r="F139" s="1" t="s">
        <v>1345</v>
      </c>
      <c r="G139" s="1" t="s">
        <v>718</v>
      </c>
      <c r="H139" s="1" t="s">
        <v>1339</v>
      </c>
      <c r="I139" s="1">
        <v>45689</v>
      </c>
      <c r="J139" s="1">
        <v>45865.374305555553</v>
      </c>
      <c r="K139" s="1">
        <v>45865.374305555553</v>
      </c>
      <c r="L139" s="1" t="s">
        <v>1341</v>
      </c>
      <c r="M139" s="1">
        <v>1</v>
      </c>
    </row>
    <row r="140" spans="1:13" x14ac:dyDescent="0.3">
      <c r="A140" s="1">
        <v>2022</v>
      </c>
      <c r="B140" s="1" t="s">
        <v>714</v>
      </c>
      <c r="C140" s="1" t="s">
        <v>715</v>
      </c>
      <c r="D140" s="1" t="s">
        <v>724</v>
      </c>
      <c r="E140" s="1" t="s">
        <v>893</v>
      </c>
      <c r="F140" s="1" t="s">
        <v>892</v>
      </c>
      <c r="G140" s="1" t="s">
        <v>718</v>
      </c>
      <c r="H140" s="1" t="s">
        <v>1358</v>
      </c>
      <c r="I140" s="1">
        <v>45901</v>
      </c>
      <c r="J140" s="1">
        <v>45865.374305555553</v>
      </c>
      <c r="K140" s="1">
        <v>45865.374305555553</v>
      </c>
      <c r="L140" s="1" t="s">
        <v>1360</v>
      </c>
      <c r="M140" s="1">
        <v>1</v>
      </c>
    </row>
    <row r="141" spans="1:13" x14ac:dyDescent="0.3">
      <c r="A141" s="1">
        <v>2022</v>
      </c>
      <c r="B141" s="1" t="s">
        <v>714</v>
      </c>
      <c r="C141" s="1" t="s">
        <v>715</v>
      </c>
      <c r="D141" s="1" t="s">
        <v>724</v>
      </c>
      <c r="E141" s="1" t="s">
        <v>921</v>
      </c>
      <c r="F141" s="1" t="s">
        <v>920</v>
      </c>
      <c r="G141" s="1" t="s">
        <v>718</v>
      </c>
      <c r="H141" s="1" t="s">
        <v>1372</v>
      </c>
      <c r="I141" s="1">
        <v>45717</v>
      </c>
      <c r="J141" s="1">
        <v>45865.374305555553</v>
      </c>
      <c r="K141" s="1">
        <v>45865.374305555553</v>
      </c>
      <c r="L141" s="1" t="s">
        <v>1374</v>
      </c>
      <c r="M141" s="1">
        <v>1</v>
      </c>
    </row>
    <row r="142" spans="1:13" x14ac:dyDescent="0.3">
      <c r="A142" s="1">
        <v>2024</v>
      </c>
      <c r="B142" s="1" t="s">
        <v>714</v>
      </c>
      <c r="C142" s="1" t="s">
        <v>715</v>
      </c>
      <c r="D142" s="1" t="s">
        <v>724</v>
      </c>
      <c r="E142" s="1" t="s">
        <v>1209</v>
      </c>
      <c r="F142" s="1" t="s">
        <v>1208</v>
      </c>
      <c r="G142" s="1" t="s">
        <v>718</v>
      </c>
      <c r="H142" s="1" t="s">
        <v>1393</v>
      </c>
      <c r="I142" s="1">
        <v>45748</v>
      </c>
      <c r="J142" s="1">
        <v>45865.374305555553</v>
      </c>
      <c r="K142" s="1">
        <v>45865.374305555553</v>
      </c>
      <c r="L142" s="1" t="s">
        <v>1395</v>
      </c>
      <c r="M142" s="1">
        <v>1</v>
      </c>
    </row>
    <row r="143" spans="1:13" x14ac:dyDescent="0.3">
      <c r="A143" s="1">
        <v>2021</v>
      </c>
      <c r="B143" s="1" t="s">
        <v>714</v>
      </c>
      <c r="C143" s="1" t="s">
        <v>715</v>
      </c>
      <c r="D143" s="1" t="s">
        <v>730</v>
      </c>
      <c r="E143" s="1" t="s">
        <v>847</v>
      </c>
      <c r="F143" s="1" t="s">
        <v>846</v>
      </c>
      <c r="G143" s="1" t="s">
        <v>718</v>
      </c>
      <c r="H143" s="1" t="s">
        <v>1423</v>
      </c>
      <c r="I143" s="1">
        <v>45748</v>
      </c>
      <c r="J143" s="1">
        <v>45865.374305555553</v>
      </c>
      <c r="K143" s="1">
        <v>45865.374305555553</v>
      </c>
      <c r="L143" s="1" t="s">
        <v>1425</v>
      </c>
      <c r="M143" s="1">
        <v>1</v>
      </c>
    </row>
    <row r="144" spans="1:13" x14ac:dyDescent="0.3">
      <c r="A144" s="1">
        <v>2023</v>
      </c>
      <c r="B144" s="1" t="s">
        <v>714</v>
      </c>
      <c r="C144" s="1" t="s">
        <v>715</v>
      </c>
      <c r="D144" s="1" t="s">
        <v>730</v>
      </c>
      <c r="E144" s="1" t="s">
        <v>989</v>
      </c>
      <c r="F144" s="1" t="s">
        <v>988</v>
      </c>
      <c r="G144" s="1" t="s">
        <v>718</v>
      </c>
      <c r="H144" s="1" t="s">
        <v>1445</v>
      </c>
      <c r="I144" s="1">
        <v>45992</v>
      </c>
      <c r="J144" s="1">
        <v>45865.374305555553</v>
      </c>
      <c r="K144" s="1">
        <v>45865.374305555553</v>
      </c>
      <c r="L144" s="1" t="s">
        <v>1447</v>
      </c>
      <c r="M144" s="1">
        <v>1</v>
      </c>
    </row>
    <row r="145" spans="1:13" x14ac:dyDescent="0.3">
      <c r="A145" s="1">
        <v>2025</v>
      </c>
      <c r="B145" s="1" t="s">
        <v>714</v>
      </c>
      <c r="C145" s="1" t="s">
        <v>715</v>
      </c>
      <c r="D145" s="1" t="s">
        <v>1347</v>
      </c>
      <c r="E145" s="1" t="s">
        <v>1349</v>
      </c>
      <c r="F145" s="1" t="s">
        <v>1348</v>
      </c>
      <c r="G145" s="1" t="s">
        <v>718</v>
      </c>
      <c r="H145" s="1" t="s">
        <v>1474</v>
      </c>
      <c r="I145" s="1">
        <v>45778</v>
      </c>
      <c r="J145" s="1">
        <v>45865.395324074074</v>
      </c>
      <c r="K145" s="1">
        <v>45865.395324074074</v>
      </c>
      <c r="L145" s="1" t="s">
        <v>1491</v>
      </c>
      <c r="M145" s="1">
        <v>1</v>
      </c>
    </row>
    <row r="146" spans="1:13" x14ac:dyDescent="0.3">
      <c r="A146" s="1">
        <v>2021</v>
      </c>
      <c r="B146" s="1" t="s">
        <v>1503</v>
      </c>
      <c r="C146" s="1" t="s">
        <v>715</v>
      </c>
      <c r="D146" s="1" t="s">
        <v>823</v>
      </c>
      <c r="E146" s="1" t="s">
        <v>2568</v>
      </c>
      <c r="F146" s="1" t="s">
        <v>2566</v>
      </c>
      <c r="G146" s="1" t="s">
        <v>2567</v>
      </c>
      <c r="H146" s="1">
        <v>37</v>
      </c>
      <c r="I146" s="1" t="s">
        <v>824</v>
      </c>
      <c r="J146" s="1" t="s">
        <v>2569</v>
      </c>
      <c r="K146" s="1" t="s">
        <v>2570</v>
      </c>
      <c r="L146" s="1" t="s">
        <v>1502</v>
      </c>
      <c r="M146" s="1">
        <v>1</v>
      </c>
    </row>
    <row r="147" spans="1:13" x14ac:dyDescent="0.3">
      <c r="A147" s="1">
        <v>2021</v>
      </c>
      <c r="B147" s="1" t="s">
        <v>1503</v>
      </c>
      <c r="C147" s="1" t="s">
        <v>715</v>
      </c>
      <c r="D147" s="1" t="s">
        <v>795</v>
      </c>
      <c r="E147" s="1" t="s">
        <v>2664</v>
      </c>
      <c r="F147" s="1" t="s">
        <v>2662</v>
      </c>
      <c r="G147" s="1" t="s">
        <v>2663</v>
      </c>
      <c r="H147" s="1">
        <v>146</v>
      </c>
      <c r="I147" s="1" t="s">
        <v>796</v>
      </c>
      <c r="J147" s="1" t="s">
        <v>2665</v>
      </c>
      <c r="K147" s="1" t="s">
        <v>2666</v>
      </c>
      <c r="L147" s="1" t="s">
        <v>1502</v>
      </c>
      <c r="M147" s="1">
        <v>1</v>
      </c>
    </row>
    <row r="148" spans="1:13" x14ac:dyDescent="0.3">
      <c r="A148" s="1">
        <v>2022</v>
      </c>
      <c r="B148" s="1" t="s">
        <v>1503</v>
      </c>
      <c r="C148" s="1" t="s">
        <v>715</v>
      </c>
      <c r="D148" s="1" t="s">
        <v>2476</v>
      </c>
      <c r="E148" s="1" t="s">
        <v>2478</v>
      </c>
      <c r="F148" s="1" t="s">
        <v>2474</v>
      </c>
      <c r="G148" s="1" t="s">
        <v>2475</v>
      </c>
      <c r="H148" s="1">
        <v>40</v>
      </c>
      <c r="I148" s="1" t="s">
        <v>2477</v>
      </c>
      <c r="J148" s="1" t="s">
        <v>2479</v>
      </c>
      <c r="K148" s="1" t="s">
        <v>2480</v>
      </c>
      <c r="L148" s="1" t="s">
        <v>1502</v>
      </c>
      <c r="M148" s="1">
        <v>1</v>
      </c>
    </row>
    <row r="149" spans="1:13" x14ac:dyDescent="0.3">
      <c r="A149" s="1">
        <v>2023</v>
      </c>
      <c r="B149" s="1" t="s">
        <v>1503</v>
      </c>
      <c r="C149" s="1" t="s">
        <v>715</v>
      </c>
      <c r="D149" s="1" t="s">
        <v>960</v>
      </c>
      <c r="E149" s="1" t="s">
        <v>2281</v>
      </c>
      <c r="F149" s="1" t="s">
        <v>2279</v>
      </c>
      <c r="G149" s="1" t="s">
        <v>2280</v>
      </c>
      <c r="H149" s="1">
        <v>7</v>
      </c>
      <c r="I149" s="1" t="s">
        <v>961</v>
      </c>
      <c r="J149" s="1" t="s">
        <v>963</v>
      </c>
      <c r="K149" s="1" t="s">
        <v>2282</v>
      </c>
      <c r="L149" s="1" t="s">
        <v>1502</v>
      </c>
      <c r="M149" s="1">
        <v>1</v>
      </c>
    </row>
    <row r="150" spans="1:13" x14ac:dyDescent="0.3">
      <c r="A150" s="1">
        <v>2023</v>
      </c>
      <c r="B150" s="1" t="s">
        <v>1503</v>
      </c>
      <c r="C150" s="1" t="s">
        <v>715</v>
      </c>
      <c r="D150" s="1" t="s">
        <v>941</v>
      </c>
      <c r="E150" s="1" t="s">
        <v>2379</v>
      </c>
      <c r="F150" s="1" t="s">
        <v>2377</v>
      </c>
      <c r="G150" s="1" t="s">
        <v>2378</v>
      </c>
      <c r="H150" s="1">
        <v>9</v>
      </c>
      <c r="I150" s="1" t="s">
        <v>942</v>
      </c>
      <c r="J150" s="1" t="s">
        <v>2380</v>
      </c>
      <c r="K150" s="1" t="s">
        <v>2381</v>
      </c>
      <c r="L150" s="1" t="s">
        <v>1502</v>
      </c>
      <c r="M150" s="1">
        <v>1</v>
      </c>
    </row>
    <row r="151" spans="1:13" x14ac:dyDescent="0.3">
      <c r="A151" s="1">
        <v>2023</v>
      </c>
      <c r="B151" s="1" t="s">
        <v>1503</v>
      </c>
      <c r="C151" s="1" t="s">
        <v>715</v>
      </c>
      <c r="D151" s="1" t="s">
        <v>955</v>
      </c>
      <c r="E151" s="1" t="s">
        <v>2395</v>
      </c>
      <c r="F151" s="1" t="s">
        <v>2393</v>
      </c>
      <c r="G151" s="1" t="s">
        <v>2394</v>
      </c>
      <c r="H151" s="1">
        <v>46</v>
      </c>
      <c r="I151" s="1" t="s">
        <v>956</v>
      </c>
      <c r="J151" s="1" t="s">
        <v>2396</v>
      </c>
      <c r="K151" s="1" t="s">
        <v>2397</v>
      </c>
      <c r="L151" s="1" t="s">
        <v>1502</v>
      </c>
      <c r="M151" s="1">
        <v>1</v>
      </c>
    </row>
    <row r="152" spans="1:13" x14ac:dyDescent="0.3">
      <c r="A152" s="1">
        <v>2024</v>
      </c>
      <c r="B152" s="1" t="s">
        <v>1503</v>
      </c>
      <c r="C152" s="1" t="s">
        <v>715</v>
      </c>
      <c r="D152" s="1" t="s">
        <v>1288</v>
      </c>
      <c r="E152" s="1" t="s">
        <v>1865</v>
      </c>
      <c r="F152" s="1" t="s">
        <v>1863</v>
      </c>
      <c r="G152" s="1" t="s">
        <v>1864</v>
      </c>
      <c r="H152" s="1">
        <v>3</v>
      </c>
      <c r="I152" s="1" t="s">
        <v>1289</v>
      </c>
      <c r="J152" s="1" t="s">
        <v>1866</v>
      </c>
      <c r="K152" s="1" t="s">
        <v>1867</v>
      </c>
      <c r="L152" s="1" t="s">
        <v>1502</v>
      </c>
      <c r="M152" s="1">
        <v>1</v>
      </c>
    </row>
    <row r="153" spans="1:13" x14ac:dyDescent="0.3">
      <c r="A153" s="1">
        <v>2024</v>
      </c>
      <c r="B153" s="1" t="s">
        <v>1503</v>
      </c>
      <c r="C153" s="1" t="s">
        <v>715</v>
      </c>
      <c r="D153" s="1" t="s">
        <v>1025</v>
      </c>
      <c r="E153" s="1" t="s">
        <v>1879</v>
      </c>
      <c r="F153" s="1" t="s">
        <v>1877</v>
      </c>
      <c r="G153" s="1" t="s">
        <v>1878</v>
      </c>
      <c r="H153" s="1">
        <v>1</v>
      </c>
      <c r="I153" s="1" t="s">
        <v>1026</v>
      </c>
      <c r="J153" s="1" t="s">
        <v>1880</v>
      </c>
      <c r="K153" s="1" t="s">
        <v>1881</v>
      </c>
      <c r="L153" s="1" t="s">
        <v>1502</v>
      </c>
      <c r="M153" s="1">
        <v>1</v>
      </c>
    </row>
    <row r="154" spans="1:13" x14ac:dyDescent="0.3">
      <c r="A154" s="1">
        <v>2024</v>
      </c>
      <c r="B154" s="1" t="s">
        <v>1503</v>
      </c>
      <c r="C154" s="1" t="s">
        <v>715</v>
      </c>
      <c r="D154" s="1" t="s">
        <v>1234</v>
      </c>
      <c r="E154" s="1" t="s">
        <v>1968</v>
      </c>
      <c r="F154" s="1" t="s">
        <v>1966</v>
      </c>
      <c r="G154" s="1" t="s">
        <v>1967</v>
      </c>
      <c r="H154" s="1">
        <v>17</v>
      </c>
      <c r="I154" s="1" t="s">
        <v>1235</v>
      </c>
      <c r="J154" s="1" t="s">
        <v>1969</v>
      </c>
      <c r="K154" s="1" t="s">
        <v>1970</v>
      </c>
      <c r="L154" s="1" t="s">
        <v>1502</v>
      </c>
      <c r="M154" s="1">
        <v>1</v>
      </c>
    </row>
    <row r="155" spans="1:13" x14ac:dyDescent="0.3">
      <c r="A155" s="1">
        <v>2024</v>
      </c>
      <c r="B155" s="1" t="s">
        <v>1503</v>
      </c>
      <c r="C155" s="1" t="s">
        <v>715</v>
      </c>
      <c r="D155" s="1" t="s">
        <v>1144</v>
      </c>
      <c r="E155" s="1" t="s">
        <v>1987</v>
      </c>
      <c r="F155" s="1" t="s">
        <v>1985</v>
      </c>
      <c r="G155" s="1" t="s">
        <v>1986</v>
      </c>
      <c r="H155" s="1">
        <v>13</v>
      </c>
      <c r="I155" s="1" t="s">
        <v>1145</v>
      </c>
      <c r="J155" s="1" t="s">
        <v>1988</v>
      </c>
      <c r="K155" s="1" t="s">
        <v>1989</v>
      </c>
      <c r="L155" s="1" t="s">
        <v>1502</v>
      </c>
      <c r="M155" s="1">
        <v>1</v>
      </c>
    </row>
    <row r="156" spans="1:13" x14ac:dyDescent="0.3">
      <c r="A156" s="1">
        <v>2024</v>
      </c>
      <c r="B156" s="1" t="s">
        <v>1503</v>
      </c>
      <c r="C156" s="1" t="s">
        <v>715</v>
      </c>
      <c r="D156" s="1" t="s">
        <v>1048</v>
      </c>
      <c r="E156" s="1" t="s">
        <v>2004</v>
      </c>
      <c r="F156" s="1" t="s">
        <v>2002</v>
      </c>
      <c r="G156" s="1" t="s">
        <v>2003</v>
      </c>
      <c r="H156" s="1">
        <v>69</v>
      </c>
      <c r="I156" s="1" t="s">
        <v>1049</v>
      </c>
      <c r="J156" s="1" t="s">
        <v>2005</v>
      </c>
      <c r="K156" s="1" t="s">
        <v>2006</v>
      </c>
      <c r="L156" s="1" t="s">
        <v>1502</v>
      </c>
      <c r="M156" s="1">
        <v>1</v>
      </c>
    </row>
    <row r="157" spans="1:13" x14ac:dyDescent="0.3">
      <c r="A157" s="1">
        <v>2024</v>
      </c>
      <c r="B157" s="1" t="s">
        <v>1503</v>
      </c>
      <c r="C157" s="1" t="s">
        <v>715</v>
      </c>
      <c r="D157" s="1" t="s">
        <v>1189</v>
      </c>
      <c r="E157" s="1" t="s">
        <v>2040</v>
      </c>
      <c r="F157" s="1" t="s">
        <v>2038</v>
      </c>
      <c r="G157" s="1" t="s">
        <v>2039</v>
      </c>
      <c r="H157" s="1">
        <v>8</v>
      </c>
      <c r="I157" s="1" t="s">
        <v>1190</v>
      </c>
      <c r="J157" s="1" t="s">
        <v>2041</v>
      </c>
      <c r="K157" s="1" t="s">
        <v>2042</v>
      </c>
      <c r="L157" s="1" t="s">
        <v>1502</v>
      </c>
      <c r="M157" s="1">
        <v>1</v>
      </c>
    </row>
    <row r="158" spans="1:13" x14ac:dyDescent="0.3">
      <c r="A158" s="1">
        <v>2024</v>
      </c>
      <c r="B158" s="1" t="s">
        <v>1503</v>
      </c>
      <c r="C158" s="1" t="s">
        <v>715</v>
      </c>
      <c r="D158" s="1" t="s">
        <v>1019</v>
      </c>
      <c r="E158" s="1" t="s">
        <v>2047</v>
      </c>
      <c r="F158" s="1" t="s">
        <v>2045</v>
      </c>
      <c r="G158" s="1" t="s">
        <v>2046</v>
      </c>
      <c r="H158" s="1">
        <v>8</v>
      </c>
      <c r="I158" s="1" t="s">
        <v>1020</v>
      </c>
      <c r="J158" s="1" t="s">
        <v>1022</v>
      </c>
      <c r="K158" s="1" t="s">
        <v>2048</v>
      </c>
      <c r="L158" s="1" t="s">
        <v>1502</v>
      </c>
      <c r="M158" s="1">
        <v>1</v>
      </c>
    </row>
    <row r="159" spans="1:13" x14ac:dyDescent="0.3">
      <c r="A159" s="1">
        <v>2024</v>
      </c>
      <c r="B159" s="1" t="s">
        <v>1503</v>
      </c>
      <c r="C159" s="1" t="s">
        <v>715</v>
      </c>
      <c r="D159" s="1" t="s">
        <v>1194</v>
      </c>
      <c r="E159" s="1" t="s">
        <v>2062</v>
      </c>
      <c r="F159" s="1" t="s">
        <v>2060</v>
      </c>
      <c r="G159" s="1" t="s">
        <v>2061</v>
      </c>
      <c r="H159" s="1">
        <v>13</v>
      </c>
      <c r="I159" s="1" t="s">
        <v>1195</v>
      </c>
      <c r="J159" s="1" t="s">
        <v>2063</v>
      </c>
      <c r="K159" s="1" t="s">
        <v>2064</v>
      </c>
      <c r="L159" s="1" t="s">
        <v>1502</v>
      </c>
      <c r="M159" s="1">
        <v>1</v>
      </c>
    </row>
    <row r="160" spans="1:13" x14ac:dyDescent="0.3">
      <c r="A160" s="1">
        <v>2024</v>
      </c>
      <c r="B160" s="1" t="s">
        <v>1503</v>
      </c>
      <c r="C160" s="1" t="s">
        <v>715</v>
      </c>
      <c r="D160" s="1" t="s">
        <v>1040</v>
      </c>
      <c r="E160" s="1" t="s">
        <v>2066</v>
      </c>
      <c r="F160" s="1" t="s">
        <v>1700</v>
      </c>
      <c r="G160" s="1" t="s">
        <v>1701</v>
      </c>
      <c r="H160" s="1">
        <v>9</v>
      </c>
      <c r="I160" s="1" t="s">
        <v>1041</v>
      </c>
      <c r="J160" s="1" t="s">
        <v>2067</v>
      </c>
      <c r="K160" s="1" t="s">
        <v>2068</v>
      </c>
      <c r="L160" s="1" t="s">
        <v>1502</v>
      </c>
      <c r="M160" s="1">
        <v>1</v>
      </c>
    </row>
    <row r="161" spans="1:13" x14ac:dyDescent="0.3">
      <c r="A161" s="1">
        <v>2024</v>
      </c>
      <c r="B161" s="1" t="s">
        <v>1503</v>
      </c>
      <c r="C161" s="1" t="s">
        <v>715</v>
      </c>
      <c r="D161" s="1" t="s">
        <v>1214</v>
      </c>
      <c r="E161" s="1" t="s">
        <v>2082</v>
      </c>
      <c r="F161" s="1" t="s">
        <v>2080</v>
      </c>
      <c r="G161" s="1" t="s">
        <v>2081</v>
      </c>
      <c r="H161" s="1">
        <v>9</v>
      </c>
      <c r="I161" s="1" t="s">
        <v>1215</v>
      </c>
      <c r="J161" s="1" t="s">
        <v>2083</v>
      </c>
      <c r="K161" s="1" t="s">
        <v>2084</v>
      </c>
      <c r="L161" s="1" t="s">
        <v>1502</v>
      </c>
      <c r="M161" s="1">
        <v>1</v>
      </c>
    </row>
    <row r="162" spans="1:13" x14ac:dyDescent="0.3">
      <c r="A162" s="1">
        <v>2024</v>
      </c>
      <c r="B162" s="1" t="s">
        <v>1503</v>
      </c>
      <c r="C162" s="1" t="s">
        <v>715</v>
      </c>
      <c r="D162" s="1" t="s">
        <v>1064</v>
      </c>
      <c r="E162" s="1" t="s">
        <v>2115</v>
      </c>
      <c r="F162" s="1" t="s">
        <v>2113</v>
      </c>
      <c r="G162" s="1" t="s">
        <v>2114</v>
      </c>
      <c r="H162" s="1">
        <v>16</v>
      </c>
      <c r="I162" s="1" t="s">
        <v>1065</v>
      </c>
      <c r="J162" s="1" t="s">
        <v>2116</v>
      </c>
      <c r="K162" s="1" t="s">
        <v>2117</v>
      </c>
      <c r="L162" s="1" t="s">
        <v>1502</v>
      </c>
      <c r="M162" s="1">
        <v>1</v>
      </c>
    </row>
    <row r="163" spans="1:13" x14ac:dyDescent="0.3">
      <c r="A163" s="1">
        <v>2024</v>
      </c>
      <c r="B163" s="1" t="s">
        <v>1503</v>
      </c>
      <c r="C163" s="1" t="s">
        <v>715</v>
      </c>
      <c r="D163" s="1" t="s">
        <v>1109</v>
      </c>
      <c r="E163" s="1" t="s">
        <v>2185</v>
      </c>
      <c r="F163" s="1" t="s">
        <v>2184</v>
      </c>
      <c r="G163" s="1">
        <v>57206675364</v>
      </c>
      <c r="H163" s="1">
        <v>4</v>
      </c>
      <c r="I163" s="1" t="s">
        <v>1110</v>
      </c>
      <c r="J163" s="1" t="s">
        <v>2186</v>
      </c>
      <c r="K163" s="1" t="s">
        <v>2187</v>
      </c>
      <c r="L163" s="1" t="s">
        <v>1502</v>
      </c>
      <c r="M163" s="1">
        <v>1</v>
      </c>
    </row>
    <row r="164" spans="1:13" x14ac:dyDescent="0.3">
      <c r="A164" s="1">
        <v>2024</v>
      </c>
      <c r="B164" s="1" t="s">
        <v>1503</v>
      </c>
      <c r="C164" s="1" t="s">
        <v>715</v>
      </c>
      <c r="D164" s="1" t="s">
        <v>1098</v>
      </c>
      <c r="E164" s="1" t="s">
        <v>2192</v>
      </c>
      <c r="F164" s="1" t="s">
        <v>2190</v>
      </c>
      <c r="G164" s="1" t="s">
        <v>2191</v>
      </c>
      <c r="H164" s="1">
        <v>24</v>
      </c>
      <c r="I164" s="1" t="s">
        <v>1099</v>
      </c>
      <c r="J164" s="1" t="s">
        <v>2193</v>
      </c>
      <c r="K164" s="1" t="s">
        <v>2194</v>
      </c>
      <c r="L164" s="1" t="s">
        <v>1502</v>
      </c>
      <c r="M164" s="1">
        <v>1</v>
      </c>
    </row>
    <row r="165" spans="1:13" x14ac:dyDescent="0.3">
      <c r="A165" s="1">
        <v>2024</v>
      </c>
      <c r="B165" s="1" t="s">
        <v>1503</v>
      </c>
      <c r="C165" s="1" t="s">
        <v>715</v>
      </c>
      <c r="D165" s="1" t="s">
        <v>1167</v>
      </c>
      <c r="E165" s="1" t="s">
        <v>2218</v>
      </c>
      <c r="F165" s="1" t="s">
        <v>2216</v>
      </c>
      <c r="G165" s="1" t="s">
        <v>2217</v>
      </c>
      <c r="H165" s="1">
        <v>3</v>
      </c>
      <c r="I165" s="1" t="s">
        <v>1168</v>
      </c>
      <c r="J165" s="1" t="s">
        <v>2219</v>
      </c>
      <c r="K165" s="1" t="s">
        <v>2220</v>
      </c>
      <c r="L165" s="1" t="s">
        <v>1502</v>
      </c>
      <c r="M165" s="1">
        <v>1</v>
      </c>
    </row>
    <row r="166" spans="1:13" x14ac:dyDescent="0.3">
      <c r="A166" s="1">
        <v>2024</v>
      </c>
      <c r="B166" s="1" t="s">
        <v>1503</v>
      </c>
      <c r="C166" s="1" t="s">
        <v>715</v>
      </c>
      <c r="D166" s="1" t="s">
        <v>1053</v>
      </c>
      <c r="E166" s="1" t="s">
        <v>2222</v>
      </c>
      <c r="F166" s="1" t="s">
        <v>2197</v>
      </c>
      <c r="G166" s="1" t="s">
        <v>2198</v>
      </c>
      <c r="H166" s="1">
        <v>21</v>
      </c>
      <c r="I166" s="1" t="s">
        <v>1054</v>
      </c>
      <c r="J166" s="1" t="s">
        <v>1056</v>
      </c>
      <c r="K166" s="1" t="s">
        <v>2223</v>
      </c>
      <c r="L166" s="1" t="s">
        <v>1502</v>
      </c>
      <c r="M166" s="1">
        <v>1</v>
      </c>
    </row>
    <row r="167" spans="1:13" x14ac:dyDescent="0.3">
      <c r="A167" s="1">
        <v>2024</v>
      </c>
      <c r="B167" s="1" t="s">
        <v>1503</v>
      </c>
      <c r="C167" s="1" t="s">
        <v>715</v>
      </c>
      <c r="D167" s="1" t="s">
        <v>1219</v>
      </c>
      <c r="E167" s="1" t="s">
        <v>2256</v>
      </c>
      <c r="F167" s="1" t="s">
        <v>2254</v>
      </c>
      <c r="G167" s="1" t="s">
        <v>2255</v>
      </c>
      <c r="H167" s="1">
        <v>17</v>
      </c>
      <c r="I167" s="1" t="s">
        <v>1220</v>
      </c>
      <c r="J167" s="1" t="s">
        <v>2257</v>
      </c>
      <c r="K167" s="1" t="s">
        <v>2258</v>
      </c>
      <c r="L167" s="1" t="s">
        <v>1502</v>
      </c>
      <c r="M167" s="1">
        <v>1</v>
      </c>
    </row>
    <row r="168" spans="1:13" x14ac:dyDescent="0.3">
      <c r="A168" s="1">
        <v>2025</v>
      </c>
      <c r="B168" s="1" t="s">
        <v>1503</v>
      </c>
      <c r="C168" s="1" t="s">
        <v>715</v>
      </c>
      <c r="D168" s="1" t="s">
        <v>1444</v>
      </c>
      <c r="E168" s="1" t="s">
        <v>1520</v>
      </c>
      <c r="F168" s="1" t="s">
        <v>1518</v>
      </c>
      <c r="G168" s="1" t="s">
        <v>1519</v>
      </c>
      <c r="H168" s="1">
        <v>0</v>
      </c>
      <c r="I168" s="1" t="s">
        <v>1445</v>
      </c>
      <c r="J168" s="1" t="s">
        <v>1521</v>
      </c>
      <c r="K168" s="1" t="s">
        <v>1522</v>
      </c>
      <c r="L168" s="1" t="s">
        <v>1502</v>
      </c>
      <c r="M168" s="1">
        <v>1</v>
      </c>
    </row>
    <row r="169" spans="1:13" x14ac:dyDescent="0.3">
      <c r="A169" s="1">
        <v>2025</v>
      </c>
      <c r="B169" s="1" t="s">
        <v>1503</v>
      </c>
      <c r="C169" s="1" t="s">
        <v>715</v>
      </c>
      <c r="D169" s="1" t="s">
        <v>1357</v>
      </c>
      <c r="E169" s="1" t="s">
        <v>1546</v>
      </c>
      <c r="F169" s="1" t="s">
        <v>1544</v>
      </c>
      <c r="G169" s="1" t="s">
        <v>1545</v>
      </c>
      <c r="H169" s="1">
        <v>0</v>
      </c>
      <c r="I169" s="1" t="s">
        <v>1358</v>
      </c>
      <c r="J169" s="1" t="s">
        <v>1547</v>
      </c>
      <c r="K169" s="1" t="s">
        <v>1548</v>
      </c>
      <c r="L169" s="1" t="s">
        <v>1502</v>
      </c>
      <c r="M169" s="1">
        <v>1</v>
      </c>
    </row>
    <row r="170" spans="1:13" x14ac:dyDescent="0.3">
      <c r="A170" s="1">
        <v>2025</v>
      </c>
      <c r="B170" s="1" t="s">
        <v>1503</v>
      </c>
      <c r="C170" s="1" t="s">
        <v>715</v>
      </c>
      <c r="D170" s="1" t="s">
        <v>1371</v>
      </c>
      <c r="E170" s="1" t="s">
        <v>1791</v>
      </c>
      <c r="F170" s="1" t="s">
        <v>1789</v>
      </c>
      <c r="G170" s="1" t="s">
        <v>1790</v>
      </c>
      <c r="H170" s="1">
        <v>0</v>
      </c>
      <c r="I170" s="1" t="s">
        <v>1372</v>
      </c>
      <c r="J170" s="1" t="s">
        <v>1792</v>
      </c>
      <c r="K170" s="1" t="s">
        <v>1793</v>
      </c>
      <c r="L170" s="1" t="s">
        <v>1502</v>
      </c>
      <c r="M170" s="1">
        <v>1</v>
      </c>
    </row>
    <row r="171" spans="1:13" x14ac:dyDescent="0.3">
      <c r="A171" s="1">
        <v>2021</v>
      </c>
      <c r="B171" s="1" t="s">
        <v>2753</v>
      </c>
      <c r="C171" s="1" t="s">
        <v>2782</v>
      </c>
      <c r="D171" s="1" t="s">
        <v>2783</v>
      </c>
      <c r="E171" s="1" t="s">
        <v>822</v>
      </c>
      <c r="F171" s="1" t="s">
        <v>823</v>
      </c>
      <c r="G171" s="1" t="s">
        <v>364</v>
      </c>
      <c r="H171" s="1" t="s">
        <v>357</v>
      </c>
      <c r="I171" s="1" t="s">
        <v>2789</v>
      </c>
      <c r="J171" s="1" t="s">
        <v>365</v>
      </c>
      <c r="K171" s="1" t="str">
        <f>HYPERLINK("https%3A%2F%2Fwww.webofscience.com%2Fwos%2Fwoscc%2Ffull-record%2FWOS:000894810300043","View Full Record in Web of Science")</f>
        <v>View Full Record in Web of Science</v>
      </c>
      <c r="L171" s="1"/>
      <c r="M171" s="1">
        <v>1</v>
      </c>
    </row>
    <row r="172" spans="1:13" x14ac:dyDescent="0.3">
      <c r="A172" s="1">
        <v>2023</v>
      </c>
      <c r="B172" s="1" t="s">
        <v>2753</v>
      </c>
      <c r="C172" s="1" t="s">
        <v>2782</v>
      </c>
      <c r="D172" s="1" t="s">
        <v>2811</v>
      </c>
      <c r="E172" s="1" t="s">
        <v>954</v>
      </c>
      <c r="F172" s="1" t="s">
        <v>955</v>
      </c>
      <c r="G172" s="1" t="s">
        <v>2794</v>
      </c>
      <c r="H172" s="1" t="s">
        <v>2795</v>
      </c>
      <c r="I172" s="1" t="s">
        <v>2758</v>
      </c>
      <c r="J172" s="1" t="s">
        <v>2796</v>
      </c>
      <c r="K172" s="1" t="str">
        <f>HYPERLINK("https%3A%2F%2Fwww.webofscience.com%2Fwos%2Fwoscc%2Ffull-record%2FWOS:000848292900011","View Full Record in Web of Science")</f>
        <v>View Full Record in Web of Science</v>
      </c>
      <c r="L172" s="1"/>
      <c r="M172" s="1">
        <v>1</v>
      </c>
    </row>
    <row r="173" spans="1:13" x14ac:dyDescent="0.3">
      <c r="A173" s="1">
        <v>2023</v>
      </c>
      <c r="B173" s="1" t="s">
        <v>2753</v>
      </c>
      <c r="C173" s="1" t="s">
        <v>2782</v>
      </c>
      <c r="D173" s="1" t="s">
        <v>2852</v>
      </c>
      <c r="E173" s="1" t="s">
        <v>2853</v>
      </c>
      <c r="F173" s="1" t="s">
        <v>941</v>
      </c>
      <c r="G173" s="1" t="s">
        <v>589</v>
      </c>
      <c r="H173" s="1" t="s">
        <v>2770</v>
      </c>
      <c r="I173" s="1" t="s">
        <v>2799</v>
      </c>
      <c r="J173" s="1" t="s">
        <v>590</v>
      </c>
      <c r="K173" s="1" t="str">
        <f>HYPERLINK("https%3A%2F%2Fwww.webofscience.com%2Fwos%2Fwoscc%2Ffull-record%2FWOS:000831139000006","View Full Record in Web of Science")</f>
        <v>View Full Record in Web of Science</v>
      </c>
      <c r="L173" s="1"/>
      <c r="M173" s="1">
        <v>1</v>
      </c>
    </row>
    <row r="174" spans="1:13" x14ac:dyDescent="0.3">
      <c r="A174" s="1">
        <v>2024</v>
      </c>
      <c r="B174" s="1" t="s">
        <v>2753</v>
      </c>
      <c r="C174" s="1" t="s">
        <v>2782</v>
      </c>
      <c r="D174" s="1" t="s">
        <v>2871</v>
      </c>
      <c r="E174" s="1" t="s">
        <v>1108</v>
      </c>
      <c r="F174" s="1" t="s">
        <v>1109</v>
      </c>
      <c r="G174" s="1" t="s">
        <v>64</v>
      </c>
      <c r="H174" s="1" t="s">
        <v>37</v>
      </c>
      <c r="I174" s="1" t="s">
        <v>2765</v>
      </c>
      <c r="J174" s="1" t="s">
        <v>62</v>
      </c>
      <c r="K174" s="1" t="str">
        <f>HYPERLINK("https%3A%2F%2Fwww.webofscience.com%2Fwos%2Fwoscc%2Ffull-record%2FWOS:000821546600001","View Full Record in Web of Science")</f>
        <v>View Full Record in Web of Science</v>
      </c>
      <c r="L174" s="1"/>
      <c r="M174" s="1">
        <v>1</v>
      </c>
    </row>
    <row r="175" spans="1:13" x14ac:dyDescent="0.3">
      <c r="A175" s="1">
        <v>2024</v>
      </c>
      <c r="B175" s="1" t="s">
        <v>2753</v>
      </c>
      <c r="C175" s="1" t="s">
        <v>2782</v>
      </c>
      <c r="D175" s="1" t="s">
        <v>2888</v>
      </c>
      <c r="E175" s="1" t="s">
        <v>1218</v>
      </c>
      <c r="F175" s="1" t="s">
        <v>1219</v>
      </c>
      <c r="G175" s="1" t="s">
        <v>2805</v>
      </c>
      <c r="H175" s="1" t="s">
        <v>2758</v>
      </c>
      <c r="I175" s="1" t="s">
        <v>2806</v>
      </c>
      <c r="J175" s="1" t="s">
        <v>88</v>
      </c>
      <c r="K175" s="1" t="str">
        <f>HYPERLINK("https%3A%2F%2Fwww.webofscience.com%2Fwos%2Fwoscc%2Ffull-record%2FWOS:000834027100003","View Full Record in Web of Science")</f>
        <v>View Full Record in Web of Science</v>
      </c>
      <c r="L175" s="1"/>
      <c r="M175" s="1">
        <v>1</v>
      </c>
    </row>
    <row r="176" spans="1:13" x14ac:dyDescent="0.3">
      <c r="A176" s="1">
        <v>2024</v>
      </c>
      <c r="B176" s="1" t="s">
        <v>2753</v>
      </c>
      <c r="C176" s="1" t="s">
        <v>2782</v>
      </c>
      <c r="D176" s="1" t="s">
        <v>2924</v>
      </c>
      <c r="E176" s="1" t="s">
        <v>2925</v>
      </c>
      <c r="F176" s="1" t="s">
        <v>1167</v>
      </c>
      <c r="G176" s="1" t="s">
        <v>2807</v>
      </c>
      <c r="H176" s="1" t="s">
        <v>357</v>
      </c>
      <c r="I176" s="1" t="s">
        <v>2808</v>
      </c>
      <c r="J176" s="1" t="s">
        <v>358</v>
      </c>
      <c r="K176" s="1" t="str">
        <f>HYPERLINK("https%3A%2F%2Fwww.webofscience.com%2Fwos%2Fwoscc%2Ffull-record%2FWOS:001004238600057","View Full Record in Web of Science")</f>
        <v>View Full Record in Web of Science</v>
      </c>
      <c r="L176" s="1"/>
      <c r="M176" s="1">
        <v>1</v>
      </c>
    </row>
    <row r="177" spans="1:13" x14ac:dyDescent="0.3">
      <c r="A177" s="1">
        <v>2022</v>
      </c>
      <c r="B177" s="1" t="s">
        <v>1503</v>
      </c>
      <c r="C177" s="1" t="s">
        <v>1716</v>
      </c>
      <c r="D177" s="1" t="s">
        <v>2524</v>
      </c>
      <c r="E177" s="1" t="s">
        <v>2526</v>
      </c>
      <c r="F177" s="1" t="s">
        <v>2522</v>
      </c>
      <c r="G177" s="1" t="s">
        <v>2523</v>
      </c>
      <c r="H177" s="1">
        <v>8</v>
      </c>
      <c r="I177" s="1" t="s">
        <v>2525</v>
      </c>
      <c r="J177" s="1" t="s">
        <v>2527</v>
      </c>
      <c r="K177" s="1" t="s">
        <v>2528</v>
      </c>
      <c r="L177" s="1" t="s">
        <v>1502</v>
      </c>
      <c r="M177" s="1">
        <v>1</v>
      </c>
    </row>
    <row r="178" spans="1:13" x14ac:dyDescent="0.3">
      <c r="A178" s="1">
        <v>2024</v>
      </c>
      <c r="B178" s="1" t="s">
        <v>1503</v>
      </c>
      <c r="C178" s="1" t="s">
        <v>1716</v>
      </c>
      <c r="D178" s="1" t="s">
        <v>1856</v>
      </c>
      <c r="E178" s="1" t="s">
        <v>1858</v>
      </c>
      <c r="F178" s="1" t="s">
        <v>1854</v>
      </c>
      <c r="G178" s="1" t="s">
        <v>1855</v>
      </c>
      <c r="H178" s="1">
        <v>2</v>
      </c>
      <c r="I178" s="1" t="s">
        <v>1857</v>
      </c>
      <c r="J178" s="1" t="s">
        <v>1859</v>
      </c>
      <c r="K178" s="1" t="s">
        <v>1860</v>
      </c>
      <c r="L178" s="1" t="s">
        <v>1502</v>
      </c>
      <c r="M178" s="1">
        <v>1</v>
      </c>
    </row>
    <row r="179" spans="1:13" x14ac:dyDescent="0.3">
      <c r="A179" s="1">
        <v>2022</v>
      </c>
      <c r="B179" s="1" t="s">
        <v>714</v>
      </c>
      <c r="C179" s="1" t="s">
        <v>866</v>
      </c>
      <c r="D179" s="1" t="s">
        <v>755</v>
      </c>
      <c r="E179" s="1" t="s">
        <v>874</v>
      </c>
      <c r="F179" s="1" t="s">
        <v>873</v>
      </c>
      <c r="G179" s="1" t="s">
        <v>869</v>
      </c>
      <c r="H179" s="1" t="s">
        <v>870</v>
      </c>
      <c r="I179" s="1">
        <v>44805</v>
      </c>
      <c r="J179" s="1">
        <v>45865.374305555553</v>
      </c>
      <c r="K179" s="1">
        <v>45865.374305555553</v>
      </c>
      <c r="L179" s="1" t="s">
        <v>872</v>
      </c>
      <c r="M179" s="1">
        <v>1</v>
      </c>
    </row>
    <row r="180" spans="1:13" x14ac:dyDescent="0.3">
      <c r="A180" s="1">
        <v>2024</v>
      </c>
      <c r="B180" s="1" t="s">
        <v>1503</v>
      </c>
      <c r="C180" s="1" t="s">
        <v>1771</v>
      </c>
      <c r="D180" s="1" t="s">
        <v>1907</v>
      </c>
      <c r="E180" s="1" t="s">
        <v>1908</v>
      </c>
      <c r="F180" s="1" t="s">
        <v>1906</v>
      </c>
      <c r="G180" s="1">
        <v>55604498000</v>
      </c>
      <c r="H180" s="1">
        <v>1</v>
      </c>
      <c r="I180" s="1"/>
      <c r="J180" s="1" t="s">
        <v>1909</v>
      </c>
      <c r="K180" s="1" t="s">
        <v>1910</v>
      </c>
      <c r="L180" s="1" t="s">
        <v>1502</v>
      </c>
      <c r="M180" s="1">
        <v>1</v>
      </c>
    </row>
    <row r="181" spans="1:13" x14ac:dyDescent="0.3">
      <c r="A181" s="1">
        <v>2025</v>
      </c>
      <c r="B181" s="1" t="s">
        <v>626</v>
      </c>
      <c r="C181" s="1" t="s">
        <v>439</v>
      </c>
      <c r="D181" s="1" t="s">
        <v>627</v>
      </c>
      <c r="E181" s="1" t="s">
        <v>629</v>
      </c>
      <c r="F181" s="1"/>
      <c r="G181" s="1" t="s">
        <v>443</v>
      </c>
      <c r="H181" s="1"/>
      <c r="I181" s="1" t="s">
        <v>630</v>
      </c>
      <c r="J181" s="1" t="s">
        <v>631</v>
      </c>
      <c r="K181" s="5" t="str">
        <f>HYPERLINK("https%3A%2F%2Fwww.webofscience.com%2Fwos%2Fwoscc%2Ffull-record%2FWOS:000524291600008","View Full Record in Web of Science")</f>
        <v>View Full Record in Web of Science</v>
      </c>
      <c r="L181" s="1" t="s">
        <v>352</v>
      </c>
      <c r="M181" s="1">
        <v>1</v>
      </c>
    </row>
    <row r="182" spans="1:13" x14ac:dyDescent="0.3">
      <c r="A182" s="1">
        <v>2024</v>
      </c>
      <c r="B182" s="1" t="s">
        <v>342</v>
      </c>
      <c r="C182" s="1" t="s">
        <v>439</v>
      </c>
      <c r="D182" s="1" t="s">
        <v>440</v>
      </c>
      <c r="E182" s="1" t="s">
        <v>442</v>
      </c>
      <c r="F182" s="1">
        <v>45604</v>
      </c>
      <c r="G182" s="1" t="s">
        <v>443</v>
      </c>
      <c r="H182" s="1" t="s">
        <v>445</v>
      </c>
      <c r="I182" s="1" t="s">
        <v>446</v>
      </c>
      <c r="J182" s="1" t="s">
        <v>447</v>
      </c>
      <c r="K182" s="1">
        <v>37</v>
      </c>
      <c r="L182" s="1" t="s">
        <v>448</v>
      </c>
      <c r="M182" s="1">
        <v>1</v>
      </c>
    </row>
    <row r="183" spans="1:13" x14ac:dyDescent="0.3">
      <c r="A183" s="1">
        <v>2024</v>
      </c>
      <c r="B183" s="1" t="s">
        <v>342</v>
      </c>
      <c r="C183" s="1" t="s">
        <v>439</v>
      </c>
      <c r="D183" s="1" t="s">
        <v>491</v>
      </c>
      <c r="E183" s="1" t="s">
        <v>493</v>
      </c>
      <c r="F183" s="1">
        <v>45566</v>
      </c>
      <c r="G183" s="1" t="s">
        <v>443</v>
      </c>
      <c r="H183" s="1"/>
      <c r="I183" s="1" t="s">
        <v>495</v>
      </c>
      <c r="J183" s="1" t="s">
        <v>496</v>
      </c>
      <c r="K183" s="1">
        <v>15</v>
      </c>
      <c r="L183" s="1" t="s">
        <v>448</v>
      </c>
      <c r="M183" s="1">
        <v>1</v>
      </c>
    </row>
    <row r="184" spans="1:13" x14ac:dyDescent="0.3">
      <c r="A184" s="1">
        <v>2025</v>
      </c>
      <c r="B184" s="1" t="s">
        <v>342</v>
      </c>
      <c r="C184" s="1" t="s">
        <v>439</v>
      </c>
      <c r="D184" s="1" t="s">
        <v>497</v>
      </c>
      <c r="E184" s="1" t="s">
        <v>499</v>
      </c>
      <c r="F184" s="1">
        <v>45735</v>
      </c>
      <c r="G184" s="1" t="s">
        <v>443</v>
      </c>
      <c r="H184" s="1" t="s">
        <v>501</v>
      </c>
      <c r="I184" s="1" t="s">
        <v>502</v>
      </c>
      <c r="J184" s="1" t="s">
        <v>503</v>
      </c>
      <c r="K184" s="1">
        <v>41</v>
      </c>
      <c r="L184" s="1" t="s">
        <v>352</v>
      </c>
      <c r="M184" s="1">
        <v>1</v>
      </c>
    </row>
    <row r="185" spans="1:13" x14ac:dyDescent="0.3">
      <c r="A185" s="1">
        <v>2025</v>
      </c>
      <c r="B185" s="1" t="s">
        <v>342</v>
      </c>
      <c r="C185" s="1" t="s">
        <v>439</v>
      </c>
      <c r="D185" s="1" t="s">
        <v>532</v>
      </c>
      <c r="E185" s="1" t="s">
        <v>534</v>
      </c>
      <c r="F185" s="1">
        <v>45841</v>
      </c>
      <c r="G185" s="1" t="s">
        <v>443</v>
      </c>
      <c r="H185" s="1"/>
      <c r="I185" s="1" t="s">
        <v>535</v>
      </c>
      <c r="J185" s="1" t="s">
        <v>536</v>
      </c>
      <c r="K185" s="1">
        <v>28</v>
      </c>
      <c r="L185" s="1" t="s">
        <v>448</v>
      </c>
      <c r="M185" s="1">
        <v>1</v>
      </c>
    </row>
    <row r="186" spans="1:13" x14ac:dyDescent="0.3">
      <c r="A186" s="1">
        <v>2020</v>
      </c>
      <c r="B186" s="1" t="s">
        <v>342</v>
      </c>
      <c r="C186" s="1" t="s">
        <v>439</v>
      </c>
      <c r="D186" s="1" t="s">
        <v>667</v>
      </c>
      <c r="E186" s="1" t="s">
        <v>669</v>
      </c>
      <c r="F186" s="1">
        <v>43943</v>
      </c>
      <c r="G186" s="1" t="s">
        <v>443</v>
      </c>
      <c r="H186" s="1" t="s">
        <v>670</v>
      </c>
      <c r="I186" s="1" t="s">
        <v>671</v>
      </c>
      <c r="J186" s="1" t="s">
        <v>672</v>
      </c>
      <c r="K186" s="1">
        <v>46</v>
      </c>
      <c r="L186" s="1" t="s">
        <v>352</v>
      </c>
      <c r="M186" s="1">
        <v>1</v>
      </c>
    </row>
    <row r="187" spans="1:13" x14ac:dyDescent="0.3">
      <c r="A187" s="1">
        <v>2024</v>
      </c>
      <c r="B187" s="1" t="s">
        <v>2753</v>
      </c>
      <c r="C187" s="1" t="s">
        <v>2902</v>
      </c>
      <c r="D187" s="1" t="s">
        <v>2903</v>
      </c>
      <c r="E187" s="1" t="s">
        <v>2904</v>
      </c>
      <c r="F187" s="1" t="s">
        <v>491</v>
      </c>
      <c r="G187" s="1" t="s">
        <v>506</v>
      </c>
      <c r="H187" s="1" t="s">
        <v>2770</v>
      </c>
      <c r="I187" s="1" t="s">
        <v>2765</v>
      </c>
      <c r="J187" s="1" t="s">
        <v>507</v>
      </c>
      <c r="K187" s="1" t="str">
        <f>HYPERLINK("https%3A%2F%2Fwww.webofscience.com%2Fwos%2Fwoscc%2Ffull-record%2FWOS:001096168400004","View Full Record in Web of Science")</f>
        <v>View Full Record in Web of Science</v>
      </c>
      <c r="L187" s="1"/>
      <c r="M187" s="1">
        <v>1</v>
      </c>
    </row>
    <row r="188" spans="1:13" x14ac:dyDescent="0.3">
      <c r="A188" s="1">
        <v>2024</v>
      </c>
      <c r="B188" s="1" t="s">
        <v>2753</v>
      </c>
      <c r="C188" s="1" t="s">
        <v>2902</v>
      </c>
      <c r="D188" s="1" t="s">
        <v>2906</v>
      </c>
      <c r="E188" s="1" t="s">
        <v>2907</v>
      </c>
      <c r="F188" s="1" t="s">
        <v>440</v>
      </c>
      <c r="G188" s="1" t="s">
        <v>2812</v>
      </c>
      <c r="H188" s="1" t="s">
        <v>718</v>
      </c>
      <c r="I188" s="1" t="s">
        <v>2813</v>
      </c>
      <c r="J188" s="1" t="s">
        <v>956</v>
      </c>
      <c r="K188" s="1" t="str">
        <f>HYPERLINK("https%3A%2F%2Fwww.webofscience.com%2Fwos%2Fwoscc%2Ffull-record%2FWOS:000868340000007","View Full Record in Web of Science")</f>
        <v>View Full Record in Web of Science</v>
      </c>
      <c r="L188" s="1"/>
      <c r="M188" s="1">
        <v>1</v>
      </c>
    </row>
    <row r="189" spans="1:13" x14ac:dyDescent="0.3">
      <c r="A189" s="1">
        <v>2025</v>
      </c>
      <c r="B189" s="1" t="s">
        <v>2753</v>
      </c>
      <c r="C189" s="1" t="s">
        <v>2902</v>
      </c>
      <c r="D189" s="1" t="s">
        <v>2961</v>
      </c>
      <c r="E189" s="1" t="s">
        <v>2962</v>
      </c>
      <c r="F189" s="1" t="s">
        <v>497</v>
      </c>
      <c r="G189" s="1" t="s">
        <v>2816</v>
      </c>
      <c r="H189" s="1" t="s">
        <v>49</v>
      </c>
      <c r="I189" s="1" t="s">
        <v>2817</v>
      </c>
      <c r="J189" s="1" t="s">
        <v>121</v>
      </c>
      <c r="K189" s="1" t="str">
        <f>HYPERLINK("https%3A%2F%2Fwww.webofscience.com%2Fwos%2Fwoscc%2Ffull-record%2FWOS:001054005300012","View Full Record in Web of Science")</f>
        <v>View Full Record in Web of Science</v>
      </c>
      <c r="L189" s="1"/>
      <c r="M189" s="1">
        <v>1</v>
      </c>
    </row>
    <row r="190" spans="1:13" x14ac:dyDescent="0.3">
      <c r="A190" s="1">
        <v>2024</v>
      </c>
      <c r="B190" s="1" t="s">
        <v>2753</v>
      </c>
      <c r="C190" s="1" t="s">
        <v>2875</v>
      </c>
      <c r="D190" s="1" t="s">
        <v>2876</v>
      </c>
      <c r="E190" s="1" t="s">
        <v>2877</v>
      </c>
      <c r="F190" s="1" t="s">
        <v>2878</v>
      </c>
      <c r="G190" s="1" t="s">
        <v>2822</v>
      </c>
      <c r="H190" s="1" t="s">
        <v>2823</v>
      </c>
      <c r="I190" s="1" t="s">
        <v>2765</v>
      </c>
      <c r="J190" s="1" t="s">
        <v>2824</v>
      </c>
      <c r="K190" s="1" t="str">
        <f>HYPERLINK("https%3A%2F%2Fwww.webofscience.com%2Fwos%2Fwoscc%2Ffull-record%2FWOS:001091903700001","View Full Record in Web of Science")</f>
        <v>View Full Record in Web of Science</v>
      </c>
      <c r="L190" s="1"/>
      <c r="M190" s="1">
        <v>1</v>
      </c>
    </row>
    <row r="191" spans="1:13" x14ac:dyDescent="0.3">
      <c r="A191" s="1">
        <v>2025</v>
      </c>
      <c r="B191" s="1" t="s">
        <v>342</v>
      </c>
      <c r="C191" s="1" t="s">
        <v>618</v>
      </c>
      <c r="D191" s="1" t="s">
        <v>619</v>
      </c>
      <c r="E191" s="1" t="s">
        <v>621</v>
      </c>
      <c r="F191" s="1">
        <v>45701</v>
      </c>
      <c r="G191" s="1" t="s">
        <v>622</v>
      </c>
      <c r="H191" s="1" t="s">
        <v>623</v>
      </c>
      <c r="I191" s="1" t="s">
        <v>624</v>
      </c>
      <c r="J191" s="1" t="s">
        <v>625</v>
      </c>
      <c r="K191" s="1">
        <v>14</v>
      </c>
      <c r="L191" s="1" t="s">
        <v>362</v>
      </c>
      <c r="M191" s="1">
        <v>1</v>
      </c>
    </row>
    <row r="192" spans="1:13" x14ac:dyDescent="0.3">
      <c r="A192" s="1">
        <v>2024</v>
      </c>
      <c r="B192" s="1" t="s">
        <v>2753</v>
      </c>
      <c r="C192" s="1" t="s">
        <v>2889</v>
      </c>
      <c r="D192" s="1" t="s">
        <v>2890</v>
      </c>
      <c r="E192" s="1" t="s">
        <v>2891</v>
      </c>
      <c r="F192" s="1" t="s">
        <v>2892</v>
      </c>
      <c r="G192" s="1" t="s">
        <v>2828</v>
      </c>
      <c r="H192" s="1" t="s">
        <v>2829</v>
      </c>
      <c r="I192" s="1" t="s">
        <v>2830</v>
      </c>
      <c r="J192" s="1" t="s">
        <v>2273</v>
      </c>
      <c r="K192" s="1" t="str">
        <f>HYPERLINK("https%3A%2F%2Fwww.webofscience.com%2Fwos%2Fwoscc%2Ffull-record%2FWOS:000972356300001","View Full Record in Web of Science")</f>
        <v>View Full Record in Web of Science</v>
      </c>
      <c r="L192" s="1"/>
      <c r="M192" s="1">
        <v>1</v>
      </c>
    </row>
    <row r="193" spans="1:13" x14ac:dyDescent="0.3">
      <c r="A193" s="1">
        <v>2023</v>
      </c>
      <c r="B193" s="1" t="s">
        <v>342</v>
      </c>
      <c r="C193" s="1" t="s">
        <v>455</v>
      </c>
      <c r="D193" s="1" t="s">
        <v>456</v>
      </c>
      <c r="E193" s="1" t="s">
        <v>458</v>
      </c>
      <c r="F193" s="1">
        <v>45218</v>
      </c>
      <c r="G193" s="1" t="s">
        <v>459</v>
      </c>
      <c r="H193" s="1" t="s">
        <v>460</v>
      </c>
      <c r="I193" s="1" t="s">
        <v>461</v>
      </c>
      <c r="J193" s="1" t="s">
        <v>462</v>
      </c>
      <c r="K193" s="1">
        <v>32</v>
      </c>
      <c r="L193" s="1" t="s">
        <v>362</v>
      </c>
      <c r="M193" s="1">
        <v>1</v>
      </c>
    </row>
    <row r="194" spans="1:13" x14ac:dyDescent="0.3">
      <c r="A194" s="1">
        <v>2023</v>
      </c>
      <c r="B194" s="1" t="s">
        <v>342</v>
      </c>
      <c r="C194" s="1" t="s">
        <v>455</v>
      </c>
      <c r="D194" s="1" t="s">
        <v>472</v>
      </c>
      <c r="E194" s="1" t="s">
        <v>474</v>
      </c>
      <c r="F194" s="1">
        <v>44949</v>
      </c>
      <c r="G194" s="1" t="s">
        <v>459</v>
      </c>
      <c r="H194" s="1" t="s">
        <v>476</v>
      </c>
      <c r="I194" s="1" t="s">
        <v>477</v>
      </c>
      <c r="J194" s="1" t="s">
        <v>478</v>
      </c>
      <c r="K194" s="1">
        <v>39</v>
      </c>
      <c r="L194" s="1" t="s">
        <v>362</v>
      </c>
      <c r="M194" s="1">
        <v>1</v>
      </c>
    </row>
    <row r="195" spans="1:13" x14ac:dyDescent="0.3">
      <c r="A195" s="1">
        <v>2021</v>
      </c>
      <c r="B195" s="1" t="s">
        <v>342</v>
      </c>
      <c r="C195" s="1" t="s">
        <v>455</v>
      </c>
      <c r="D195" s="1" t="s">
        <v>525</v>
      </c>
      <c r="E195" s="1" t="s">
        <v>527</v>
      </c>
      <c r="F195" s="1">
        <v>44323</v>
      </c>
      <c r="G195" s="1" t="s">
        <v>459</v>
      </c>
      <c r="H195" s="1" t="s">
        <v>529</v>
      </c>
      <c r="I195" s="1" t="s">
        <v>530</v>
      </c>
      <c r="J195" s="1" t="s">
        <v>531</v>
      </c>
      <c r="K195" s="1">
        <v>38</v>
      </c>
      <c r="L195" s="1" t="s">
        <v>352</v>
      </c>
      <c r="M195" s="1">
        <v>1</v>
      </c>
    </row>
    <row r="196" spans="1:13" x14ac:dyDescent="0.3">
      <c r="A196" s="1">
        <v>2025</v>
      </c>
      <c r="B196" s="1" t="s">
        <v>342</v>
      </c>
      <c r="C196" s="1" t="s">
        <v>455</v>
      </c>
      <c r="D196" s="1" t="s">
        <v>600</v>
      </c>
      <c r="E196" s="1" t="s">
        <v>602</v>
      </c>
      <c r="F196" s="1">
        <v>45755</v>
      </c>
      <c r="G196" s="1" t="s">
        <v>459</v>
      </c>
      <c r="H196" s="1" t="s">
        <v>603</v>
      </c>
      <c r="I196" s="1" t="s">
        <v>604</v>
      </c>
      <c r="J196" s="1" t="s">
        <v>605</v>
      </c>
      <c r="K196" s="1">
        <v>30</v>
      </c>
      <c r="L196" s="1" t="s">
        <v>362</v>
      </c>
      <c r="M196" s="1">
        <v>1</v>
      </c>
    </row>
    <row r="197" spans="1:13" x14ac:dyDescent="0.3">
      <c r="A197" s="1">
        <v>2024</v>
      </c>
      <c r="B197" s="1" t="s">
        <v>342</v>
      </c>
      <c r="C197" s="1" t="s">
        <v>455</v>
      </c>
      <c r="D197" s="1" t="s">
        <v>660</v>
      </c>
      <c r="E197" s="1" t="s">
        <v>662</v>
      </c>
      <c r="F197" s="1">
        <v>45616</v>
      </c>
      <c r="G197" s="1" t="s">
        <v>459</v>
      </c>
      <c r="H197" s="1" t="s">
        <v>664</v>
      </c>
      <c r="I197" s="1" t="s">
        <v>665</v>
      </c>
      <c r="J197" s="1" t="s">
        <v>666</v>
      </c>
      <c r="K197" s="1">
        <v>34</v>
      </c>
      <c r="L197" s="1" t="s">
        <v>448</v>
      </c>
      <c r="M197" s="1">
        <v>1</v>
      </c>
    </row>
    <row r="198" spans="1:13" x14ac:dyDescent="0.3">
      <c r="A198" s="1">
        <v>2021</v>
      </c>
      <c r="B198" s="1" t="s">
        <v>342</v>
      </c>
      <c r="C198" s="1" t="s">
        <v>455</v>
      </c>
      <c r="D198" s="1" t="s">
        <v>679</v>
      </c>
      <c r="E198" s="1" t="s">
        <v>681</v>
      </c>
      <c r="F198" s="1">
        <v>44351</v>
      </c>
      <c r="G198" s="1" t="s">
        <v>459</v>
      </c>
      <c r="H198" s="1" t="s">
        <v>682</v>
      </c>
      <c r="I198" s="1" t="s">
        <v>683</v>
      </c>
      <c r="J198" s="1" t="s">
        <v>684</v>
      </c>
      <c r="K198" s="1">
        <v>52</v>
      </c>
      <c r="L198" s="1" t="s">
        <v>362</v>
      </c>
      <c r="M198" s="1">
        <v>1</v>
      </c>
    </row>
    <row r="199" spans="1:13" x14ac:dyDescent="0.3">
      <c r="A199" s="1">
        <v>2021</v>
      </c>
      <c r="B199" s="1" t="s">
        <v>2753</v>
      </c>
      <c r="C199" s="1" t="s">
        <v>2778</v>
      </c>
      <c r="D199" s="1" t="s">
        <v>2779</v>
      </c>
      <c r="E199" s="1" t="s">
        <v>2780</v>
      </c>
      <c r="F199" s="1" t="s">
        <v>525</v>
      </c>
      <c r="G199" s="1" t="s">
        <v>2835</v>
      </c>
      <c r="H199" s="1" t="s">
        <v>2836</v>
      </c>
      <c r="I199" s="1" t="s">
        <v>2817</v>
      </c>
      <c r="J199" s="1" t="s">
        <v>2837</v>
      </c>
      <c r="K199" s="1" t="str">
        <f>HYPERLINK("https%3A%2F%2Fwww.webofscience.com%2Fwos%2Fwoscc%2Ffull-record%2FWOS:001020261500037","View Full Record in Web of Science")</f>
        <v>View Full Record in Web of Science</v>
      </c>
      <c r="L199" s="1"/>
      <c r="M199" s="1">
        <v>1</v>
      </c>
    </row>
    <row r="200" spans="1:13" x14ac:dyDescent="0.3">
      <c r="A200" s="1">
        <v>2023</v>
      </c>
      <c r="B200" s="1" t="s">
        <v>2753</v>
      </c>
      <c r="C200" s="1" t="s">
        <v>2778</v>
      </c>
      <c r="D200" s="1" t="s">
        <v>2838</v>
      </c>
      <c r="E200" s="1" t="s">
        <v>2839</v>
      </c>
      <c r="F200" s="1" t="s">
        <v>472</v>
      </c>
      <c r="G200" s="1" t="s">
        <v>474</v>
      </c>
      <c r="H200" s="1" t="s">
        <v>459</v>
      </c>
      <c r="I200" s="1" t="s">
        <v>2840</v>
      </c>
      <c r="J200" s="1" t="s">
        <v>475</v>
      </c>
      <c r="K200" s="1" t="str">
        <f>HYPERLINK("https%3A%2F%2Fwww.webofscience.com%2Fwos%2Fwoscc%2Ffull-record%2FWOS:000965450200001","View Full Record in Web of Science")</f>
        <v>View Full Record in Web of Science</v>
      </c>
      <c r="L200" s="1"/>
      <c r="M200" s="1">
        <v>1</v>
      </c>
    </row>
    <row r="201" spans="1:13" x14ac:dyDescent="0.3">
      <c r="A201" s="1">
        <v>2024</v>
      </c>
      <c r="B201" s="1" t="s">
        <v>2753</v>
      </c>
      <c r="C201" s="1" t="s">
        <v>2778</v>
      </c>
      <c r="D201" s="1" t="s">
        <v>2922</v>
      </c>
      <c r="E201" s="1" t="s">
        <v>2923</v>
      </c>
      <c r="F201" s="1" t="s">
        <v>660</v>
      </c>
      <c r="G201" s="1" t="s">
        <v>402</v>
      </c>
      <c r="H201" s="1" t="s">
        <v>2770</v>
      </c>
      <c r="I201" s="1" t="s">
        <v>2843</v>
      </c>
      <c r="J201" s="1" t="s">
        <v>403</v>
      </c>
      <c r="K201" s="1" t="str">
        <f>HYPERLINK("https%3A%2F%2Fwww.webofscience.com%2Fwos%2Fwoscc%2Ffull-record%2FWOS:000890079200013","View Full Record in Web of Science")</f>
        <v>View Full Record in Web of Science</v>
      </c>
      <c r="L201" s="1"/>
      <c r="M201" s="1">
        <v>1</v>
      </c>
    </row>
    <row r="202" spans="1:13" x14ac:dyDescent="0.3">
      <c r="A202" s="1">
        <v>2024</v>
      </c>
      <c r="B202" s="1" t="s">
        <v>342</v>
      </c>
      <c r="C202" s="1" t="s">
        <v>652</v>
      </c>
      <c r="D202" s="1" t="s">
        <v>653</v>
      </c>
      <c r="E202" s="1" t="s">
        <v>655</v>
      </c>
      <c r="F202" s="1">
        <v>45434</v>
      </c>
      <c r="G202" s="1" t="s">
        <v>656</v>
      </c>
      <c r="H202" s="1" t="s">
        <v>657</v>
      </c>
      <c r="I202" s="1" t="s">
        <v>658</v>
      </c>
      <c r="J202" s="1" t="s">
        <v>659</v>
      </c>
      <c r="K202" s="1">
        <v>41</v>
      </c>
      <c r="L202" s="1" t="s">
        <v>352</v>
      </c>
      <c r="M202" s="1">
        <v>1</v>
      </c>
    </row>
    <row r="203" spans="1:13" x14ac:dyDescent="0.3">
      <c r="A203" s="1">
        <v>2025</v>
      </c>
      <c r="B203" s="1" t="s">
        <v>342</v>
      </c>
      <c r="C203" s="1" t="s">
        <v>685</v>
      </c>
      <c r="D203" s="1" t="s">
        <v>686</v>
      </c>
      <c r="E203" s="1" t="s">
        <v>688</v>
      </c>
      <c r="F203" s="1">
        <v>45821</v>
      </c>
      <c r="G203" s="1" t="s">
        <v>689</v>
      </c>
      <c r="H203" s="1" t="s">
        <v>690</v>
      </c>
      <c r="I203" s="1" t="s">
        <v>691</v>
      </c>
      <c r="J203" s="1" t="s">
        <v>692</v>
      </c>
      <c r="K203" s="1">
        <v>65</v>
      </c>
      <c r="L203" s="1" t="s">
        <v>352</v>
      </c>
      <c r="M203" s="1">
        <v>1</v>
      </c>
    </row>
    <row r="204" spans="1:13" x14ac:dyDescent="0.3">
      <c r="A204" s="1">
        <v>2024</v>
      </c>
      <c r="B204" s="1" t="s">
        <v>342</v>
      </c>
      <c r="C204" s="1" t="s">
        <v>405</v>
      </c>
      <c r="D204" s="1" t="s">
        <v>406</v>
      </c>
      <c r="E204" s="1" t="s">
        <v>408</v>
      </c>
      <c r="F204" s="1">
        <v>45463</v>
      </c>
      <c r="G204" s="1" t="s">
        <v>409</v>
      </c>
      <c r="H204" s="1" t="s">
        <v>411</v>
      </c>
      <c r="I204" s="1" t="s">
        <v>412</v>
      </c>
      <c r="J204" s="1" t="s">
        <v>413</v>
      </c>
      <c r="K204" s="1">
        <v>37</v>
      </c>
      <c r="L204" s="1" t="s">
        <v>362</v>
      </c>
      <c r="M204" s="1">
        <v>1</v>
      </c>
    </row>
    <row r="205" spans="1:13" x14ac:dyDescent="0.3">
      <c r="A205" s="1">
        <v>2024</v>
      </c>
      <c r="B205" s="1" t="s">
        <v>2753</v>
      </c>
      <c r="C205" s="1" t="s">
        <v>2882</v>
      </c>
      <c r="D205" s="1" t="s">
        <v>2883</v>
      </c>
      <c r="E205" s="1" t="s">
        <v>2884</v>
      </c>
      <c r="F205" s="1" t="s">
        <v>406</v>
      </c>
      <c r="G205" s="1" t="s">
        <v>2848</v>
      </c>
      <c r="H205" s="1" t="s">
        <v>2849</v>
      </c>
      <c r="I205" s="1" t="s">
        <v>2850</v>
      </c>
      <c r="J205" s="1" t="s">
        <v>2851</v>
      </c>
      <c r="K205" s="1" t="str">
        <f>HYPERLINK("https%3A%2F%2Fwww.webofscience.com%2Fwos%2Fwoscc%2Ffull-record%2FWOS:001047175700022","View Full Record in Web of Science")</f>
        <v>View Full Record in Web of Science</v>
      </c>
      <c r="L205" s="1"/>
      <c r="M205" s="1">
        <v>1</v>
      </c>
    </row>
    <row r="206" spans="1:13" x14ac:dyDescent="0.3">
      <c r="A206" s="1">
        <v>2025</v>
      </c>
      <c r="B206" s="1" t="s">
        <v>342</v>
      </c>
      <c r="C206" s="1" t="s">
        <v>423</v>
      </c>
      <c r="D206" s="1" t="s">
        <v>424</v>
      </c>
      <c r="E206" s="1" t="s">
        <v>426</v>
      </c>
      <c r="F206" s="1">
        <v>45751</v>
      </c>
      <c r="G206" s="1" t="s">
        <v>427</v>
      </c>
      <c r="H206" s="1" t="s">
        <v>429</v>
      </c>
      <c r="I206" s="1" t="s">
        <v>430</v>
      </c>
      <c r="J206" s="1" t="s">
        <v>431</v>
      </c>
      <c r="K206" s="1">
        <v>60</v>
      </c>
      <c r="L206" s="1" t="s">
        <v>362</v>
      </c>
      <c r="M206" s="1">
        <v>1</v>
      </c>
    </row>
    <row r="207" spans="1:13" x14ac:dyDescent="0.3">
      <c r="A207" s="1">
        <v>2025</v>
      </c>
      <c r="B207" s="1" t="s">
        <v>2753</v>
      </c>
      <c r="C207" s="1" t="s">
        <v>2946</v>
      </c>
      <c r="D207" s="1" t="s">
        <v>2947</v>
      </c>
      <c r="E207" s="1" t="s">
        <v>2948</v>
      </c>
      <c r="F207" s="1" t="s">
        <v>424</v>
      </c>
      <c r="G207" s="1" t="s">
        <v>2854</v>
      </c>
      <c r="H207" s="1" t="s">
        <v>718</v>
      </c>
      <c r="I207" s="1" t="s">
        <v>2759</v>
      </c>
      <c r="J207" s="1" t="s">
        <v>942</v>
      </c>
      <c r="K207" s="1" t="str">
        <f>HYPERLINK("https%3A%2F%2Fwww.webofscience.com%2Fwos%2Fwoscc%2Ffull-record%2FWOS:000892504800007","View Full Record in Web of Science")</f>
        <v>View Full Record in Web of Science</v>
      </c>
      <c r="L207" s="1"/>
      <c r="M207" s="1">
        <v>1</v>
      </c>
    </row>
    <row r="208" spans="1:13" x14ac:dyDescent="0.3">
      <c r="A208" s="1">
        <v>2023</v>
      </c>
      <c r="B208" s="1" t="s">
        <v>342</v>
      </c>
      <c r="C208" s="1" t="s">
        <v>353</v>
      </c>
      <c r="D208" s="1" t="s">
        <v>354</v>
      </c>
      <c r="E208" s="1" t="s">
        <v>356</v>
      </c>
      <c r="F208" s="1">
        <v>45083</v>
      </c>
      <c r="G208" s="1" t="s">
        <v>357</v>
      </c>
      <c r="H208" s="1" t="s">
        <v>359</v>
      </c>
      <c r="I208" s="1" t="s">
        <v>360</v>
      </c>
      <c r="J208" s="1" t="s">
        <v>361</v>
      </c>
      <c r="K208" s="1">
        <v>50</v>
      </c>
      <c r="L208" s="1" t="s">
        <v>362</v>
      </c>
      <c r="M208" s="1">
        <v>1</v>
      </c>
    </row>
    <row r="209" spans="1:13" x14ac:dyDescent="0.3">
      <c r="A209" s="1">
        <v>2022</v>
      </c>
      <c r="B209" s="1" t="s">
        <v>342</v>
      </c>
      <c r="C209" s="1" t="s">
        <v>353</v>
      </c>
      <c r="D209" s="1" t="s">
        <v>363</v>
      </c>
      <c r="E209" s="1" t="s">
        <v>364</v>
      </c>
      <c r="F209" s="1">
        <v>44900</v>
      </c>
      <c r="G209" s="1" t="s">
        <v>357</v>
      </c>
      <c r="H209" s="1" t="s">
        <v>366</v>
      </c>
      <c r="I209" s="1" t="s">
        <v>367</v>
      </c>
      <c r="J209" s="1" t="s">
        <v>368</v>
      </c>
      <c r="K209" s="1">
        <v>61</v>
      </c>
      <c r="L209" s="1" t="s">
        <v>362</v>
      </c>
      <c r="M209" s="1">
        <v>1</v>
      </c>
    </row>
    <row r="210" spans="1:13" x14ac:dyDescent="0.3">
      <c r="A210" s="1">
        <v>2025</v>
      </c>
      <c r="B210" s="1" t="s">
        <v>342</v>
      </c>
      <c r="C210" s="1" t="s">
        <v>353</v>
      </c>
      <c r="D210" s="1" t="s">
        <v>484</v>
      </c>
      <c r="E210" s="1" t="s">
        <v>486</v>
      </c>
      <c r="F210" s="1">
        <v>45723</v>
      </c>
      <c r="G210" s="1" t="s">
        <v>357</v>
      </c>
      <c r="H210" s="1" t="s">
        <v>488</v>
      </c>
      <c r="I210" s="1" t="s">
        <v>489</v>
      </c>
      <c r="J210" s="1" t="s">
        <v>490</v>
      </c>
      <c r="K210" s="1">
        <v>40</v>
      </c>
      <c r="L210" s="1" t="s">
        <v>362</v>
      </c>
      <c r="M210" s="1">
        <v>1</v>
      </c>
    </row>
    <row r="211" spans="1:13" x14ac:dyDescent="0.3">
      <c r="A211" s="1">
        <v>2024</v>
      </c>
      <c r="B211" s="1" t="s">
        <v>342</v>
      </c>
      <c r="C211" s="1" t="s">
        <v>353</v>
      </c>
      <c r="D211" s="1" t="s">
        <v>537</v>
      </c>
      <c r="E211" s="1" t="s">
        <v>539</v>
      </c>
      <c r="F211" s="1">
        <v>45631</v>
      </c>
      <c r="G211" s="1" t="s">
        <v>357</v>
      </c>
      <c r="H211" s="1" t="s">
        <v>541</v>
      </c>
      <c r="I211" s="1" t="s">
        <v>542</v>
      </c>
      <c r="J211" s="1" t="s">
        <v>543</v>
      </c>
      <c r="K211" s="1">
        <v>98</v>
      </c>
      <c r="L211" s="1" t="s">
        <v>362</v>
      </c>
      <c r="M211" s="1">
        <v>1</v>
      </c>
    </row>
    <row r="212" spans="1:13" x14ac:dyDescent="0.3">
      <c r="A212" s="1">
        <v>2022</v>
      </c>
      <c r="B212" s="1" t="s">
        <v>2753</v>
      </c>
      <c r="C212" s="1" t="s">
        <v>2786</v>
      </c>
      <c r="D212" s="1" t="s">
        <v>2787</v>
      </c>
      <c r="E212" s="1" t="s">
        <v>2788</v>
      </c>
      <c r="F212" s="1" t="s">
        <v>363</v>
      </c>
      <c r="G212" s="1" t="s">
        <v>2859</v>
      </c>
      <c r="H212" s="1" t="s">
        <v>2860</v>
      </c>
      <c r="I212" s="1" t="s">
        <v>2765</v>
      </c>
      <c r="J212" s="1" t="s">
        <v>2362</v>
      </c>
      <c r="K212" s="1" t="str">
        <f>HYPERLINK("https%3A%2F%2Fwww.webofscience.com%2Fwos%2Fwoscc%2Ffull-record%2FWOS:000863153300001","View Full Record in Web of Science")</f>
        <v>View Full Record in Web of Science</v>
      </c>
      <c r="L212" s="1"/>
      <c r="M212" s="1">
        <v>1</v>
      </c>
    </row>
    <row r="213" spans="1:13" x14ac:dyDescent="0.3">
      <c r="A213" s="1">
        <v>2023</v>
      </c>
      <c r="B213" s="1" t="s">
        <v>2753</v>
      </c>
      <c r="C213" s="1" t="s">
        <v>2786</v>
      </c>
      <c r="D213" s="1" t="s">
        <v>2787</v>
      </c>
      <c r="E213" s="1" t="s">
        <v>2788</v>
      </c>
      <c r="F213" s="1" t="s">
        <v>354</v>
      </c>
      <c r="G213" s="1" t="s">
        <v>972</v>
      </c>
      <c r="H213" s="1" t="s">
        <v>970</v>
      </c>
      <c r="I213" s="1" t="s">
        <v>2863</v>
      </c>
      <c r="J213" s="1" t="s">
        <v>971</v>
      </c>
      <c r="K213" s="1" t="str">
        <f>HYPERLINK("https%3A%2F%2Fwww.webofscience.com%2Fwos%2Fwoscc%2Ffull-record%2FWOS:001006681700001","View Full Record in Web of Science")</f>
        <v>View Full Record in Web of Science</v>
      </c>
      <c r="L213" s="1"/>
      <c r="M213" s="1">
        <v>1</v>
      </c>
    </row>
    <row r="214" spans="1:13" x14ac:dyDescent="0.3">
      <c r="A214" s="1">
        <v>2024</v>
      </c>
      <c r="B214" s="1" t="s">
        <v>2753</v>
      </c>
      <c r="C214" s="1" t="s">
        <v>2786</v>
      </c>
      <c r="D214" s="1" t="s">
        <v>2916</v>
      </c>
      <c r="E214" s="1" t="s">
        <v>2917</v>
      </c>
      <c r="F214" s="1" t="s">
        <v>552</v>
      </c>
      <c r="G214" s="1" t="s">
        <v>395</v>
      </c>
      <c r="H214" s="1" t="s">
        <v>2867</v>
      </c>
      <c r="I214" s="1" t="s">
        <v>2868</v>
      </c>
      <c r="J214" s="1" t="s">
        <v>396</v>
      </c>
      <c r="K214" s="1" t="str">
        <f>HYPERLINK("https%3A%2F%2Fwww.webofscience.com%2Fwos%2Fwoscc%2Ffull-record%2FWOS:001262778300023","View Full Record in Web of Science")</f>
        <v>View Full Record in Web of Science</v>
      </c>
      <c r="L214" s="1"/>
      <c r="M214" s="1">
        <v>1</v>
      </c>
    </row>
    <row r="215" spans="1:13" x14ac:dyDescent="0.3">
      <c r="A215" s="1">
        <v>2024</v>
      </c>
      <c r="B215" s="1" t="s">
        <v>2753</v>
      </c>
      <c r="C215" s="1" t="s">
        <v>2786</v>
      </c>
      <c r="D215" s="1" t="s">
        <v>2920</v>
      </c>
      <c r="E215" s="1" t="s">
        <v>2921</v>
      </c>
      <c r="F215" s="1" t="s">
        <v>606</v>
      </c>
      <c r="G215" s="1" t="s">
        <v>2870</v>
      </c>
      <c r="H215" s="1" t="s">
        <v>37</v>
      </c>
      <c r="I215" s="1" t="s">
        <v>2765</v>
      </c>
      <c r="J215" s="1" t="s">
        <v>182</v>
      </c>
      <c r="K215" s="1" t="str">
        <f>HYPERLINK("https%3A%2F%2Fwww.webofscience.com%2Fwos%2Fwoscc%2Ffull-record%2FWOS:001336055700001","View Full Record in Web of Science")</f>
        <v>View Full Record in Web of Science</v>
      </c>
      <c r="L215" s="1"/>
      <c r="M215" s="1">
        <v>1</v>
      </c>
    </row>
    <row r="216" spans="1:13" x14ac:dyDescent="0.3">
      <c r="A216" s="1">
        <v>2024</v>
      </c>
      <c r="B216" s="1" t="s">
        <v>2753</v>
      </c>
      <c r="C216" s="1" t="s">
        <v>2786</v>
      </c>
      <c r="D216" s="1" t="s">
        <v>2927</v>
      </c>
      <c r="E216" s="1" t="s">
        <v>2928</v>
      </c>
      <c r="F216" s="1" t="s">
        <v>537</v>
      </c>
      <c r="G216" s="1" t="s">
        <v>2872</v>
      </c>
      <c r="H216" s="1" t="s">
        <v>718</v>
      </c>
      <c r="I216" s="1" t="s">
        <v>2777</v>
      </c>
      <c r="J216" s="1" t="s">
        <v>1110</v>
      </c>
      <c r="K216" s="1" t="str">
        <f>HYPERLINK("https%3A%2F%2Fwww.webofscience.com%2Fwos%2Fwoscc%2Ffull-record%2FWOS:001138055500001","View Full Record in Web of Science")</f>
        <v>View Full Record in Web of Science</v>
      </c>
      <c r="L216" s="1"/>
      <c r="M216" s="1">
        <v>1</v>
      </c>
    </row>
    <row r="217" spans="1:13" x14ac:dyDescent="0.3">
      <c r="A217" s="1">
        <v>2025</v>
      </c>
      <c r="B217" s="1" t="s">
        <v>2753</v>
      </c>
      <c r="C217" s="1" t="s">
        <v>2786</v>
      </c>
      <c r="D217" s="1" t="s">
        <v>2966</v>
      </c>
      <c r="E217" s="1" t="s">
        <v>2967</v>
      </c>
      <c r="F217" s="1" t="s">
        <v>484</v>
      </c>
      <c r="G217" s="1" t="s">
        <v>2874</v>
      </c>
      <c r="H217" s="1" t="s">
        <v>2757</v>
      </c>
      <c r="I217" s="1" t="s">
        <v>2863</v>
      </c>
      <c r="J217" s="1" t="s">
        <v>1980</v>
      </c>
      <c r="K217" s="1" t="str">
        <f>HYPERLINK("https%3A%2F%2Fwww.webofscience.com%2Fwos%2Fwoscc%2Ffull-record%2FWOS:001323475400001","View Full Record in Web of Science")</f>
        <v>View Full Record in Web of Science</v>
      </c>
      <c r="L217" s="1"/>
      <c r="M217" s="1">
        <v>1</v>
      </c>
    </row>
    <row r="218" spans="1:13" x14ac:dyDescent="0.3">
      <c r="A218" s="1">
        <v>2024</v>
      </c>
      <c r="B218" s="1" t="s">
        <v>342</v>
      </c>
      <c r="C218" s="1" t="s">
        <v>463</v>
      </c>
      <c r="D218" s="1" t="s">
        <v>464</v>
      </c>
      <c r="E218" s="1" t="s">
        <v>466</v>
      </c>
      <c r="F218" s="1">
        <v>45453</v>
      </c>
      <c r="G218" s="1" t="s">
        <v>467</v>
      </c>
      <c r="H218" s="1" t="s">
        <v>469</v>
      </c>
      <c r="I218" s="1" t="s">
        <v>470</v>
      </c>
      <c r="J218" s="1" t="s">
        <v>471</v>
      </c>
      <c r="K218" s="1">
        <v>42</v>
      </c>
      <c r="L218" s="1" t="s">
        <v>362</v>
      </c>
      <c r="M218" s="1">
        <v>1</v>
      </c>
    </row>
    <row r="219" spans="1:13" x14ac:dyDescent="0.3">
      <c r="A219" s="1">
        <v>2023</v>
      </c>
      <c r="B219" s="1" t="s">
        <v>2753</v>
      </c>
      <c r="C219" s="1" t="s">
        <v>2844</v>
      </c>
      <c r="D219" s="1" t="s">
        <v>2845</v>
      </c>
      <c r="E219" s="1" t="s">
        <v>2846</v>
      </c>
      <c r="F219" s="1" t="s">
        <v>2847</v>
      </c>
      <c r="G219" s="1" t="s">
        <v>2879</v>
      </c>
      <c r="H219" s="1" t="s">
        <v>2880</v>
      </c>
      <c r="I219" s="1" t="s">
        <v>2777</v>
      </c>
      <c r="J219" s="1" t="s">
        <v>2881</v>
      </c>
      <c r="K219" s="1" t="str">
        <f>HYPERLINK("https%3A%2F%2Fwww.webofscience.com%2Fwos%2Fwoscc%2Ffull-record%2FWOS:001252987000010","View Full Record in Web of Science")</f>
        <v>View Full Record in Web of Science</v>
      </c>
      <c r="L219" s="1"/>
      <c r="M219" s="1">
        <v>1</v>
      </c>
    </row>
    <row r="220" spans="1:13" x14ac:dyDescent="0.3">
      <c r="A220" s="1">
        <v>2024</v>
      </c>
      <c r="B220" s="1" t="s">
        <v>2753</v>
      </c>
      <c r="C220" s="1" t="s">
        <v>2844</v>
      </c>
      <c r="D220" s="1" t="s">
        <v>2914</v>
      </c>
      <c r="E220" s="1" t="s">
        <v>2915</v>
      </c>
      <c r="F220" s="1" t="s">
        <v>464</v>
      </c>
      <c r="G220" s="1" t="s">
        <v>408</v>
      </c>
      <c r="H220" s="1" t="s">
        <v>2885</v>
      </c>
      <c r="I220" s="1" t="s">
        <v>2806</v>
      </c>
      <c r="J220" s="1" t="s">
        <v>410</v>
      </c>
      <c r="K220" s="1" t="str">
        <f>HYPERLINK("https%3A%2F%2Fwww.webofscience.com%2Fwos%2Fwoscc%2Ffull-record%2FWOS:001201916900001","View Full Record in Web of Science")</f>
        <v>View Full Record in Web of Science</v>
      </c>
      <c r="L220" s="1"/>
      <c r="M220" s="1">
        <v>1</v>
      </c>
    </row>
    <row r="221" spans="1:13" x14ac:dyDescent="0.3">
      <c r="A221" s="1">
        <v>2023</v>
      </c>
      <c r="B221" s="1" t="s">
        <v>2753</v>
      </c>
      <c r="C221" s="1" t="s">
        <v>2831</v>
      </c>
      <c r="D221" s="1" t="s">
        <v>2832</v>
      </c>
      <c r="E221" s="1" t="s">
        <v>2833</v>
      </c>
      <c r="F221" s="1" t="s">
        <v>2834</v>
      </c>
      <c r="G221" s="1" t="s">
        <v>1181</v>
      </c>
      <c r="H221" s="1" t="s">
        <v>881</v>
      </c>
      <c r="I221" s="1" t="s">
        <v>2765</v>
      </c>
      <c r="J221" s="1" t="s">
        <v>1180</v>
      </c>
      <c r="K221" s="1" t="str">
        <f>HYPERLINK("https%3A%2F%2Fwww.webofscience.com%2Fwos%2Fwoscc%2Ffull-record%2FWOS:001349804700001","View Full Record in Web of Science")</f>
        <v>View Full Record in Web of Science</v>
      </c>
      <c r="L221" s="1"/>
      <c r="M221" s="1">
        <v>1</v>
      </c>
    </row>
    <row r="222" spans="1:13" x14ac:dyDescent="0.3">
      <c r="A222" s="1">
        <v>2024</v>
      </c>
      <c r="B222" s="1" t="s">
        <v>342</v>
      </c>
      <c r="C222" s="1" t="s">
        <v>385</v>
      </c>
      <c r="D222" s="1" t="s">
        <v>386</v>
      </c>
      <c r="E222" s="1" t="s">
        <v>388</v>
      </c>
      <c r="F222" s="1">
        <v>45510</v>
      </c>
      <c r="G222" s="1" t="s">
        <v>389</v>
      </c>
      <c r="H222" s="1" t="s">
        <v>390</v>
      </c>
      <c r="I222" s="1" t="s">
        <v>391</v>
      </c>
      <c r="J222" s="1" t="s">
        <v>392</v>
      </c>
      <c r="K222" s="1">
        <v>33</v>
      </c>
      <c r="L222" s="1" t="s">
        <v>362</v>
      </c>
      <c r="M222" s="1">
        <v>1</v>
      </c>
    </row>
    <row r="223" spans="1:13" x14ac:dyDescent="0.3">
      <c r="A223" s="1">
        <v>2024</v>
      </c>
      <c r="B223" s="1" t="s">
        <v>342</v>
      </c>
      <c r="C223" s="1" t="s">
        <v>385</v>
      </c>
      <c r="D223" s="1" t="s">
        <v>393</v>
      </c>
      <c r="E223" s="1" t="s">
        <v>395</v>
      </c>
      <c r="F223" s="1">
        <v>45475</v>
      </c>
      <c r="G223" s="1" t="s">
        <v>389</v>
      </c>
      <c r="H223" s="1" t="s">
        <v>397</v>
      </c>
      <c r="I223" s="1" t="s">
        <v>398</v>
      </c>
      <c r="J223" s="1" t="s">
        <v>399</v>
      </c>
      <c r="K223" s="1">
        <v>63</v>
      </c>
      <c r="L223" s="1" t="s">
        <v>362</v>
      </c>
      <c r="M223" s="1">
        <v>1</v>
      </c>
    </row>
    <row r="224" spans="1:13" x14ac:dyDescent="0.3">
      <c r="A224" s="1">
        <v>2024</v>
      </c>
      <c r="B224" s="1" t="s">
        <v>342</v>
      </c>
      <c r="C224" s="1" t="s">
        <v>385</v>
      </c>
      <c r="D224" s="1" t="s">
        <v>612</v>
      </c>
      <c r="E224" s="1" t="s">
        <v>614</v>
      </c>
      <c r="F224" s="1">
        <v>45419</v>
      </c>
      <c r="G224" s="1" t="s">
        <v>389</v>
      </c>
      <c r="H224" s="1" t="s">
        <v>615</v>
      </c>
      <c r="I224" s="1" t="s">
        <v>616</v>
      </c>
      <c r="J224" s="1" t="s">
        <v>617</v>
      </c>
      <c r="K224" s="1">
        <v>38</v>
      </c>
      <c r="L224" s="1" t="s">
        <v>362</v>
      </c>
      <c r="M224" s="1">
        <v>1</v>
      </c>
    </row>
    <row r="225" spans="1:13" x14ac:dyDescent="0.3">
      <c r="A225" s="1">
        <v>2024</v>
      </c>
      <c r="B225" s="1" t="s">
        <v>2753</v>
      </c>
      <c r="C225" s="1" t="s">
        <v>2864</v>
      </c>
      <c r="D225" s="1" t="s">
        <v>2865</v>
      </c>
      <c r="E225" s="1" t="s">
        <v>2866</v>
      </c>
      <c r="F225" s="1" t="s">
        <v>393</v>
      </c>
      <c r="G225" s="1" t="s">
        <v>1221</v>
      </c>
      <c r="H225" s="1" t="s">
        <v>718</v>
      </c>
      <c r="I225" s="1" t="s">
        <v>2813</v>
      </c>
      <c r="J225" s="1" t="s">
        <v>1220</v>
      </c>
      <c r="K225" s="1" t="str">
        <f>HYPERLINK("https%3A%2F%2Fwww.webofscience.com%2Fwos%2Fwoscc%2Ffull-record%2FWOS:001096938800001","View Full Record in Web of Science")</f>
        <v>View Full Record in Web of Science</v>
      </c>
      <c r="L225" s="1"/>
      <c r="M225" s="1">
        <v>1</v>
      </c>
    </row>
    <row r="226" spans="1:13" x14ac:dyDescent="0.3">
      <c r="A226" s="1">
        <v>2024</v>
      </c>
      <c r="B226" s="1" t="s">
        <v>2753</v>
      </c>
      <c r="C226" s="1" t="s">
        <v>2864</v>
      </c>
      <c r="D226" s="1" t="s">
        <v>2933</v>
      </c>
      <c r="E226" s="1" t="s">
        <v>2934</v>
      </c>
      <c r="F226" s="1" t="s">
        <v>2935</v>
      </c>
      <c r="G226" s="1" t="s">
        <v>2893</v>
      </c>
      <c r="H226" s="1" t="s">
        <v>2894</v>
      </c>
      <c r="I226" s="1" t="s">
        <v>2895</v>
      </c>
      <c r="J226" s="1" t="s">
        <v>2896</v>
      </c>
      <c r="K226" s="1" t="str">
        <f>HYPERLINK("https%3A%2F%2Fwww.webofscience.com%2Fwos%2Fwoscc%2Ffull-record%2FWOS:001413490700004","View Full Record in Web of Science")</f>
        <v>View Full Record in Web of Science</v>
      </c>
      <c r="L226" s="1"/>
      <c r="M226" s="1">
        <v>1</v>
      </c>
    </row>
    <row r="227" spans="1:13" x14ac:dyDescent="0.3">
      <c r="A227" s="1">
        <v>2023</v>
      </c>
      <c r="B227" s="1" t="s">
        <v>342</v>
      </c>
      <c r="C227" s="1" t="s">
        <v>544</v>
      </c>
      <c r="D227" s="1" t="s">
        <v>545</v>
      </c>
      <c r="E227" s="1" t="s">
        <v>547</v>
      </c>
      <c r="F227" s="1">
        <v>45106</v>
      </c>
      <c r="G227" s="1" t="s">
        <v>548</v>
      </c>
      <c r="H227" s="1" t="s">
        <v>549</v>
      </c>
      <c r="I227" s="1" t="s">
        <v>550</v>
      </c>
      <c r="J227" s="1" t="s">
        <v>551</v>
      </c>
      <c r="K227" s="1">
        <v>53</v>
      </c>
      <c r="L227" s="1" t="s">
        <v>362</v>
      </c>
      <c r="M227" s="1">
        <v>1</v>
      </c>
    </row>
    <row r="228" spans="1:13" x14ac:dyDescent="0.3">
      <c r="A228" s="1">
        <v>2025</v>
      </c>
      <c r="B228" s="1" t="s">
        <v>342</v>
      </c>
      <c r="C228" s="1" t="s">
        <v>544</v>
      </c>
      <c r="D228" s="1" t="s">
        <v>569</v>
      </c>
      <c r="E228" s="1" t="s">
        <v>571</v>
      </c>
      <c r="F228" s="1">
        <v>45769</v>
      </c>
      <c r="G228" s="1" t="s">
        <v>548</v>
      </c>
      <c r="H228" s="1" t="s">
        <v>573</v>
      </c>
      <c r="I228" s="1" t="s">
        <v>574</v>
      </c>
      <c r="J228" s="1" t="s">
        <v>575</v>
      </c>
      <c r="K228" s="1">
        <v>36</v>
      </c>
      <c r="L228" s="1" t="s">
        <v>352</v>
      </c>
      <c r="M228" s="1">
        <v>1</v>
      </c>
    </row>
    <row r="229" spans="1:13" x14ac:dyDescent="0.3">
      <c r="A229" s="1">
        <v>2020</v>
      </c>
      <c r="B229" s="1" t="s">
        <v>2753</v>
      </c>
      <c r="C229" s="1" t="s">
        <v>2760</v>
      </c>
      <c r="D229" s="1" t="s">
        <v>2761</v>
      </c>
      <c r="E229" s="1" t="s">
        <v>2762</v>
      </c>
      <c r="F229" s="1" t="s">
        <v>2763</v>
      </c>
      <c r="G229" s="1" t="s">
        <v>2899</v>
      </c>
      <c r="H229" s="1" t="s">
        <v>2823</v>
      </c>
      <c r="I229" s="1" t="s">
        <v>2863</v>
      </c>
      <c r="J229" s="1" t="s">
        <v>1960</v>
      </c>
      <c r="K229" s="1" t="str">
        <f>HYPERLINK("https%3A%2F%2Fwww.webofscience.com%2Fwos%2Fwoscc%2Ffull-record%2FWOS:001067161000001","View Full Record in Web of Science")</f>
        <v>View Full Record in Web of Science</v>
      </c>
      <c r="L229" s="1"/>
      <c r="M229" s="1">
        <v>1</v>
      </c>
    </row>
    <row r="230" spans="1:13" x14ac:dyDescent="0.3">
      <c r="A230" s="1">
        <v>2025</v>
      </c>
      <c r="B230" s="1" t="s">
        <v>2753</v>
      </c>
      <c r="C230" s="1" t="s">
        <v>2760</v>
      </c>
      <c r="D230" s="1" t="s">
        <v>2963</v>
      </c>
      <c r="E230" s="1" t="s">
        <v>2964</v>
      </c>
      <c r="F230" s="1" t="s">
        <v>569</v>
      </c>
      <c r="G230" s="1" t="s">
        <v>2901</v>
      </c>
      <c r="H230" s="1" t="s">
        <v>37</v>
      </c>
      <c r="I230" s="1" t="s">
        <v>2806</v>
      </c>
      <c r="J230" s="1" t="s">
        <v>194</v>
      </c>
      <c r="K230" s="1" t="str">
        <f>HYPERLINK("https%3A%2F%2Fwww.webofscience.com%2Fwos%2Fwoscc%2Ffull-record%2FWOS:001179005800001","View Full Record in Web of Science")</f>
        <v>View Full Record in Web of Science</v>
      </c>
      <c r="L230" s="1"/>
      <c r="M230" s="1">
        <v>1</v>
      </c>
    </row>
    <row r="231" spans="1:13" x14ac:dyDescent="0.3">
      <c r="A231" s="1">
        <v>2021</v>
      </c>
      <c r="B231" s="1" t="s">
        <v>342</v>
      </c>
      <c r="C231" s="1" t="s">
        <v>377</v>
      </c>
      <c r="D231" s="1" t="s">
        <v>378</v>
      </c>
      <c r="E231" s="1" t="s">
        <v>380</v>
      </c>
      <c r="F231" s="1">
        <v>44118</v>
      </c>
      <c r="G231" s="1" t="s">
        <v>381</v>
      </c>
      <c r="H231" s="1"/>
      <c r="I231" s="1" t="s">
        <v>383</v>
      </c>
      <c r="J231" s="1" t="s">
        <v>384</v>
      </c>
      <c r="K231" s="1">
        <v>51</v>
      </c>
      <c r="L231" s="1" t="s">
        <v>362</v>
      </c>
      <c r="M231" s="1">
        <v>1</v>
      </c>
    </row>
    <row r="232" spans="1:13" x14ac:dyDescent="0.3">
      <c r="A232" s="1">
        <v>2023</v>
      </c>
      <c r="B232" s="1" t="s">
        <v>342</v>
      </c>
      <c r="C232" s="1" t="s">
        <v>377</v>
      </c>
      <c r="D232" s="1" t="s">
        <v>400</v>
      </c>
      <c r="E232" s="1" t="s">
        <v>402</v>
      </c>
      <c r="F232" s="1">
        <v>44886</v>
      </c>
      <c r="G232" s="1" t="s">
        <v>381</v>
      </c>
      <c r="H232" s="1"/>
      <c r="I232" s="1" t="s">
        <v>383</v>
      </c>
      <c r="J232" s="1" t="s">
        <v>404</v>
      </c>
      <c r="K232" s="1">
        <v>51</v>
      </c>
      <c r="L232" s="1" t="s">
        <v>362</v>
      </c>
      <c r="M232" s="1">
        <v>1</v>
      </c>
    </row>
    <row r="233" spans="1:13" x14ac:dyDescent="0.3">
      <c r="A233" s="1">
        <v>2023</v>
      </c>
      <c r="B233" s="1" t="s">
        <v>342</v>
      </c>
      <c r="C233" s="1" t="s">
        <v>377</v>
      </c>
      <c r="D233" s="1" t="s">
        <v>504</v>
      </c>
      <c r="E233" s="1" t="s">
        <v>506</v>
      </c>
      <c r="F233" s="1">
        <v>45223</v>
      </c>
      <c r="G233" s="1" t="s">
        <v>381</v>
      </c>
      <c r="H233" s="1" t="s">
        <v>508</v>
      </c>
      <c r="I233" s="1" t="s">
        <v>509</v>
      </c>
      <c r="J233" s="1" t="s">
        <v>510</v>
      </c>
      <c r="K233" s="1">
        <v>46</v>
      </c>
      <c r="L233" s="1" t="s">
        <v>362</v>
      </c>
      <c r="M233" s="1">
        <v>1</v>
      </c>
    </row>
    <row r="234" spans="1:13" x14ac:dyDescent="0.3">
      <c r="A234" s="1">
        <v>2024</v>
      </c>
      <c r="B234" s="1" t="s">
        <v>342</v>
      </c>
      <c r="C234" s="1" t="s">
        <v>377</v>
      </c>
      <c r="D234" s="1" t="s">
        <v>511</v>
      </c>
      <c r="E234" s="1" t="s">
        <v>513</v>
      </c>
      <c r="F234" s="1">
        <v>45351</v>
      </c>
      <c r="G234" s="1" t="s">
        <v>381</v>
      </c>
      <c r="H234" s="1" t="s">
        <v>515</v>
      </c>
      <c r="I234" s="1" t="s">
        <v>516</v>
      </c>
      <c r="J234" s="1" t="s">
        <v>517</v>
      </c>
      <c r="K234" s="1">
        <v>59</v>
      </c>
      <c r="L234" s="1" t="s">
        <v>362</v>
      </c>
      <c r="M234" s="1">
        <v>1</v>
      </c>
    </row>
    <row r="235" spans="1:13" x14ac:dyDescent="0.3">
      <c r="A235" s="1">
        <v>2024</v>
      </c>
      <c r="B235" s="1" t="s">
        <v>342</v>
      </c>
      <c r="C235" s="1" t="s">
        <v>377</v>
      </c>
      <c r="D235" s="1" t="s">
        <v>581</v>
      </c>
      <c r="E235" s="1" t="s">
        <v>583</v>
      </c>
      <c r="F235" s="1">
        <v>45569</v>
      </c>
      <c r="G235" s="1" t="s">
        <v>381</v>
      </c>
      <c r="H235" s="1" t="s">
        <v>584</v>
      </c>
      <c r="I235" s="1" t="s">
        <v>585</v>
      </c>
      <c r="J235" s="1" t="s">
        <v>586</v>
      </c>
      <c r="K235" s="1">
        <v>55</v>
      </c>
      <c r="L235" s="1" t="s">
        <v>362</v>
      </c>
      <c r="M235" s="1">
        <v>1</v>
      </c>
    </row>
    <row r="236" spans="1:13" x14ac:dyDescent="0.3">
      <c r="A236" s="1">
        <v>2022</v>
      </c>
      <c r="B236" s="1" t="s">
        <v>342</v>
      </c>
      <c r="C236" s="1" t="s">
        <v>377</v>
      </c>
      <c r="D236" s="1" t="s">
        <v>587</v>
      </c>
      <c r="E236" s="1" t="s">
        <v>589</v>
      </c>
      <c r="F236" s="1">
        <v>44768</v>
      </c>
      <c r="G236" s="1" t="s">
        <v>381</v>
      </c>
      <c r="H236" s="1" t="s">
        <v>591</v>
      </c>
      <c r="I236" s="1" t="s">
        <v>592</v>
      </c>
      <c r="J236" s="1" t="s">
        <v>593</v>
      </c>
      <c r="K236" s="1">
        <v>54</v>
      </c>
      <c r="L236" s="1" t="s">
        <v>362</v>
      </c>
      <c r="M236" s="1">
        <v>1</v>
      </c>
    </row>
    <row r="237" spans="1:13" x14ac:dyDescent="0.3">
      <c r="A237" s="1">
        <v>2025</v>
      </c>
      <c r="B237" s="1" t="s">
        <v>342</v>
      </c>
      <c r="C237" s="1" t="s">
        <v>377</v>
      </c>
      <c r="D237" s="1" t="s">
        <v>594</v>
      </c>
      <c r="E237" s="1" t="s">
        <v>596</v>
      </c>
      <c r="F237" s="1">
        <v>45827</v>
      </c>
      <c r="G237" s="1" t="s">
        <v>381</v>
      </c>
      <c r="H237" s="1" t="s">
        <v>597</v>
      </c>
      <c r="I237" s="1" t="s">
        <v>598</v>
      </c>
      <c r="J237" s="1" t="s">
        <v>599</v>
      </c>
      <c r="K237" s="1">
        <v>49</v>
      </c>
      <c r="L237" s="1" t="s">
        <v>362</v>
      </c>
      <c r="M237" s="1">
        <v>1</v>
      </c>
    </row>
    <row r="238" spans="1:13" x14ac:dyDescent="0.3">
      <c r="A238" s="1">
        <v>2025</v>
      </c>
      <c r="B238" s="1" t="s">
        <v>342</v>
      </c>
      <c r="C238" s="1" t="s">
        <v>377</v>
      </c>
      <c r="D238" s="1" t="s">
        <v>632</v>
      </c>
      <c r="E238" s="1" t="s">
        <v>634</v>
      </c>
      <c r="F238" s="1">
        <v>45771</v>
      </c>
      <c r="G238" s="1" t="s">
        <v>381</v>
      </c>
      <c r="H238" s="1" t="s">
        <v>635</v>
      </c>
      <c r="I238" s="1" t="s">
        <v>636</v>
      </c>
      <c r="J238" s="1" t="s">
        <v>637</v>
      </c>
      <c r="K238" s="1">
        <v>71</v>
      </c>
      <c r="L238" s="1" t="s">
        <v>352</v>
      </c>
      <c r="M238" s="1">
        <v>1</v>
      </c>
    </row>
    <row r="239" spans="1:13" x14ac:dyDescent="0.3">
      <c r="A239" s="1">
        <v>2025</v>
      </c>
      <c r="B239" s="1" t="s">
        <v>342</v>
      </c>
      <c r="C239" s="1" t="s">
        <v>377</v>
      </c>
      <c r="D239" s="1" t="s">
        <v>673</v>
      </c>
      <c r="E239" s="1" t="s">
        <v>675</v>
      </c>
      <c r="F239" s="1">
        <v>45653</v>
      </c>
      <c r="G239" s="1" t="s">
        <v>381</v>
      </c>
      <c r="H239" s="1" t="s">
        <v>676</v>
      </c>
      <c r="I239" s="1" t="s">
        <v>677</v>
      </c>
      <c r="J239" s="1" t="s">
        <v>678</v>
      </c>
      <c r="K239" s="1">
        <v>78</v>
      </c>
      <c r="L239" s="1" t="s">
        <v>362</v>
      </c>
      <c r="M239" s="1">
        <v>1</v>
      </c>
    </row>
    <row r="240" spans="1:13" x14ac:dyDescent="0.3">
      <c r="A240" s="1">
        <v>2021</v>
      </c>
      <c r="B240" s="1" t="s">
        <v>2753</v>
      </c>
      <c r="C240" s="1" t="s">
        <v>2767</v>
      </c>
      <c r="D240" s="1" t="s">
        <v>2768</v>
      </c>
      <c r="E240" s="1" t="s">
        <v>2769</v>
      </c>
      <c r="F240" s="1" t="s">
        <v>378</v>
      </c>
      <c r="G240" s="1" t="s">
        <v>2905</v>
      </c>
      <c r="H240" s="1" t="s">
        <v>443</v>
      </c>
      <c r="I240" s="1" t="s">
        <v>2758</v>
      </c>
      <c r="J240" s="1" t="s">
        <v>494</v>
      </c>
      <c r="K240" s="1" t="str">
        <f>HYPERLINK("https%3A%2F%2Fwww.webofscience.com%2Fwos%2Fwoscc%2Ffull-record%2FWOS:001327302200001","View Full Record in Web of Science")</f>
        <v>View Full Record in Web of Science</v>
      </c>
      <c r="L240" s="1"/>
      <c r="M240" s="1">
        <v>1</v>
      </c>
    </row>
    <row r="241" spans="1:13" x14ac:dyDescent="0.3">
      <c r="A241" s="1">
        <v>2022</v>
      </c>
      <c r="B241" s="1" t="s">
        <v>2753</v>
      </c>
      <c r="C241" s="1" t="s">
        <v>2767</v>
      </c>
      <c r="D241" s="1" t="s">
        <v>2797</v>
      </c>
      <c r="E241" s="1" t="s">
        <v>2798</v>
      </c>
      <c r="F241" s="1" t="s">
        <v>587</v>
      </c>
      <c r="G241" s="1" t="s">
        <v>2908</v>
      </c>
      <c r="H241" s="1" t="s">
        <v>443</v>
      </c>
      <c r="I241" s="1" t="s">
        <v>2758</v>
      </c>
      <c r="J241" s="1" t="s">
        <v>444</v>
      </c>
      <c r="K241" s="1" t="str">
        <f>HYPERLINK("https%3A%2F%2Fwww.webofscience.com%2Fwos%2Fwoscc%2Ffull-record%2FWOS:001351388300001","View Full Record in Web of Science")</f>
        <v>View Full Record in Web of Science</v>
      </c>
      <c r="L241" s="1"/>
      <c r="M241" s="1">
        <v>1</v>
      </c>
    </row>
    <row r="242" spans="1:13" x14ac:dyDescent="0.3">
      <c r="A242" s="1">
        <v>2023</v>
      </c>
      <c r="B242" s="1" t="s">
        <v>2753</v>
      </c>
      <c r="C242" s="1" t="s">
        <v>2767</v>
      </c>
      <c r="D242" s="1" t="s">
        <v>2809</v>
      </c>
      <c r="E242" s="1" t="s">
        <v>2810</v>
      </c>
      <c r="F242" s="1" t="s">
        <v>504</v>
      </c>
      <c r="G242" s="1" t="s">
        <v>2912</v>
      </c>
      <c r="H242" s="1" t="s">
        <v>2913</v>
      </c>
      <c r="I242" s="1" t="s">
        <v>2806</v>
      </c>
      <c r="J242" s="1" t="s">
        <v>1893</v>
      </c>
      <c r="K242" s="1" t="str">
        <f>HYPERLINK("https%3A%2F%2Fwww.webofscience.com%2Fwos%2Fwoscc%2Ffull-record%2FWOS:001227028000001","View Full Record in Web of Science")</f>
        <v>View Full Record in Web of Science</v>
      </c>
      <c r="L242" s="1"/>
      <c r="M242" s="1">
        <v>1</v>
      </c>
    </row>
    <row r="243" spans="1:13" x14ac:dyDescent="0.3">
      <c r="A243" s="1">
        <v>2023</v>
      </c>
      <c r="B243" s="1" t="s">
        <v>2753</v>
      </c>
      <c r="C243" s="1" t="s">
        <v>2767</v>
      </c>
      <c r="D243" s="1" t="s">
        <v>2841</v>
      </c>
      <c r="E243" s="1" t="s">
        <v>2842</v>
      </c>
      <c r="F243" s="1" t="s">
        <v>400</v>
      </c>
      <c r="G243" s="1" t="s">
        <v>466</v>
      </c>
      <c r="H243" s="1" t="s">
        <v>2849</v>
      </c>
      <c r="I243" s="1" t="s">
        <v>2817</v>
      </c>
      <c r="J243" s="1" t="s">
        <v>468</v>
      </c>
      <c r="K243" s="1" t="str">
        <f>HYPERLINK("https%3A%2F%2Fwww.webofscience.com%2Fwos%2Fwoscc%2Ffull-record%2FWOS:001246169700016","View Full Record in Web of Science")</f>
        <v>View Full Record in Web of Science</v>
      </c>
      <c r="L243" s="1"/>
      <c r="M243" s="1">
        <v>1</v>
      </c>
    </row>
    <row r="244" spans="1:13" x14ac:dyDescent="0.3">
      <c r="A244" s="1">
        <v>2024</v>
      </c>
      <c r="B244" s="1" t="s">
        <v>2753</v>
      </c>
      <c r="C244" s="1" t="s">
        <v>2767</v>
      </c>
      <c r="D244" s="1" t="s">
        <v>2930</v>
      </c>
      <c r="E244" s="1" t="s">
        <v>2931</v>
      </c>
      <c r="F244" s="1" t="s">
        <v>511</v>
      </c>
      <c r="G244" s="1" t="s">
        <v>2918</v>
      </c>
      <c r="H244" s="1" t="s">
        <v>357</v>
      </c>
      <c r="I244" s="1" t="s">
        <v>2919</v>
      </c>
      <c r="J244" s="1" t="s">
        <v>555</v>
      </c>
      <c r="K244" s="1" t="str">
        <f>HYPERLINK("https%3A%2F%2Fwww.webofscience.com%2Fwos%2Fwoscc%2Ffull-record%2FWOS:001373730300013","View Full Record in Web of Science")</f>
        <v>View Full Record in Web of Science</v>
      </c>
      <c r="L244" s="1"/>
      <c r="M244" s="1">
        <v>1</v>
      </c>
    </row>
    <row r="245" spans="1:13" x14ac:dyDescent="0.3">
      <c r="A245" s="1">
        <v>2025</v>
      </c>
      <c r="B245" s="1" t="s">
        <v>342</v>
      </c>
      <c r="C245" s="1" t="s">
        <v>343</v>
      </c>
      <c r="D245" s="1" t="s">
        <v>344</v>
      </c>
      <c r="E245" s="1" t="s">
        <v>346</v>
      </c>
      <c r="F245" s="1">
        <v>45807</v>
      </c>
      <c r="G245" s="1" t="s">
        <v>347</v>
      </c>
      <c r="H245" s="1" t="s">
        <v>349</v>
      </c>
      <c r="I245" s="1" t="s">
        <v>350</v>
      </c>
      <c r="J245" s="1" t="s">
        <v>351</v>
      </c>
      <c r="K245" s="1">
        <v>48</v>
      </c>
      <c r="L245" s="1" t="s">
        <v>352</v>
      </c>
      <c r="M245" s="1">
        <v>1</v>
      </c>
    </row>
    <row r="246" spans="1:13" x14ac:dyDescent="0.3">
      <c r="A246" s="1">
        <v>2025</v>
      </c>
      <c r="B246" s="1" t="s">
        <v>2753</v>
      </c>
      <c r="C246" s="1" t="s">
        <v>2941</v>
      </c>
      <c r="D246" s="1" t="s">
        <v>2942</v>
      </c>
      <c r="E246" s="1" t="s">
        <v>2943</v>
      </c>
      <c r="F246" s="1" t="s">
        <v>2944</v>
      </c>
      <c r="G246" s="1" t="s">
        <v>608</v>
      </c>
      <c r="H246" s="1" t="s">
        <v>357</v>
      </c>
      <c r="I246" s="1" t="s">
        <v>2919</v>
      </c>
      <c r="J246" s="1" t="s">
        <v>609</v>
      </c>
      <c r="K246" s="1" t="str">
        <f>HYPERLINK("https%3A%2F%2Fwww.webofscience.com%2Fwos%2Fwoscc%2Ffull-record%2FWOS:001373730300027","View Full Record in Web of Science")</f>
        <v>View Full Record in Web of Science</v>
      </c>
      <c r="L246" s="1"/>
      <c r="M246" s="1">
        <v>1</v>
      </c>
    </row>
    <row r="247" spans="1:13" x14ac:dyDescent="0.3">
      <c r="A247" s="1">
        <v>2025</v>
      </c>
      <c r="B247" s="1" t="s">
        <v>342</v>
      </c>
      <c r="C247" s="1" t="s">
        <v>414</v>
      </c>
      <c r="D247" s="1" t="s">
        <v>415</v>
      </c>
      <c r="E247" s="1" t="s">
        <v>417</v>
      </c>
      <c r="F247" s="1">
        <v>45758</v>
      </c>
      <c r="G247" s="1" t="s">
        <v>418</v>
      </c>
      <c r="H247" s="1" t="s">
        <v>420</v>
      </c>
      <c r="I247" s="1" t="s">
        <v>421</v>
      </c>
      <c r="J247" s="1" t="s">
        <v>422</v>
      </c>
      <c r="K247" s="1">
        <v>33</v>
      </c>
      <c r="L247" s="1" t="s">
        <v>362</v>
      </c>
      <c r="M247" s="1">
        <v>1</v>
      </c>
    </row>
    <row r="248" spans="1:13" x14ac:dyDescent="0.3">
      <c r="A248" s="1">
        <v>2024</v>
      </c>
      <c r="B248" s="1" t="s">
        <v>342</v>
      </c>
      <c r="C248" s="1" t="s">
        <v>414</v>
      </c>
      <c r="D248" s="1" t="s">
        <v>432</v>
      </c>
      <c r="E248" s="1" t="s">
        <v>434</v>
      </c>
      <c r="F248" s="1">
        <v>45573</v>
      </c>
      <c r="G248" s="1" t="s">
        <v>418</v>
      </c>
      <c r="H248" s="1" t="s">
        <v>436</v>
      </c>
      <c r="I248" s="1" t="s">
        <v>437</v>
      </c>
      <c r="J248" s="1" t="s">
        <v>438</v>
      </c>
      <c r="K248" s="1">
        <v>43</v>
      </c>
      <c r="L248" s="1" t="s">
        <v>362</v>
      </c>
      <c r="M248" s="1">
        <v>1</v>
      </c>
    </row>
    <row r="249" spans="1:13" x14ac:dyDescent="0.3">
      <c r="A249" s="1">
        <v>2025</v>
      </c>
      <c r="B249" s="1" t="s">
        <v>342</v>
      </c>
      <c r="C249" s="1" t="s">
        <v>414</v>
      </c>
      <c r="D249" s="1" t="s">
        <v>449</v>
      </c>
      <c r="E249" s="1" t="s">
        <v>451</v>
      </c>
      <c r="F249" s="1">
        <v>45695</v>
      </c>
      <c r="G249" s="1" t="s">
        <v>418</v>
      </c>
      <c r="H249" s="1" t="s">
        <v>452</v>
      </c>
      <c r="I249" s="1" t="s">
        <v>453</v>
      </c>
      <c r="J249" s="1" t="s">
        <v>454</v>
      </c>
      <c r="K249" s="1">
        <v>40</v>
      </c>
      <c r="L249" s="1" t="s">
        <v>362</v>
      </c>
      <c r="M249" s="1">
        <v>1</v>
      </c>
    </row>
    <row r="250" spans="1:13" x14ac:dyDescent="0.3">
      <c r="A250" s="1">
        <v>2023</v>
      </c>
      <c r="B250" s="1" t="s">
        <v>342</v>
      </c>
      <c r="C250" s="1" t="s">
        <v>414</v>
      </c>
      <c r="D250" s="1" t="s">
        <v>559</v>
      </c>
      <c r="E250" s="1" t="s">
        <v>561</v>
      </c>
      <c r="F250" s="1">
        <v>45208</v>
      </c>
      <c r="G250" s="1" t="s">
        <v>418</v>
      </c>
      <c r="H250" s="1" t="s">
        <v>562</v>
      </c>
      <c r="I250" s="1" t="s">
        <v>563</v>
      </c>
      <c r="J250" s="1" t="s">
        <v>564</v>
      </c>
      <c r="K250" s="1">
        <v>75</v>
      </c>
      <c r="L250" s="1" t="s">
        <v>362</v>
      </c>
      <c r="M250" s="1">
        <v>1</v>
      </c>
    </row>
    <row r="251" spans="1:13" x14ac:dyDescent="0.3">
      <c r="A251" s="1">
        <v>2024</v>
      </c>
      <c r="B251" s="1" t="s">
        <v>2753</v>
      </c>
      <c r="C251" s="1" t="s">
        <v>2938</v>
      </c>
      <c r="D251" s="1" t="s">
        <v>2939</v>
      </c>
      <c r="E251" s="1" t="s">
        <v>2940</v>
      </c>
      <c r="F251" s="1" t="s">
        <v>432</v>
      </c>
      <c r="G251" s="1" t="s">
        <v>662</v>
      </c>
      <c r="H251" s="1" t="s">
        <v>459</v>
      </c>
      <c r="I251" s="1" t="s">
        <v>2799</v>
      </c>
      <c r="J251" s="1" t="s">
        <v>663</v>
      </c>
      <c r="K251" s="1" t="str">
        <f>HYPERLINK("https%3A%2F%2Fwww.webofscience.com%2Fwos%2Fwoscc%2Ffull-record%2FWOS:001360494400014","View Full Record in Web of Science")</f>
        <v>View Full Record in Web of Science</v>
      </c>
      <c r="L251" s="1"/>
      <c r="M251" s="1">
        <v>1</v>
      </c>
    </row>
    <row r="252" spans="1:13" x14ac:dyDescent="0.3">
      <c r="A252" s="1">
        <v>2025</v>
      </c>
      <c r="B252" s="1" t="s">
        <v>2753</v>
      </c>
      <c r="C252" s="1" t="s">
        <v>2938</v>
      </c>
      <c r="D252" s="1" t="s">
        <v>2951</v>
      </c>
      <c r="E252" s="1" t="s">
        <v>930</v>
      </c>
      <c r="F252" s="1" t="s">
        <v>415</v>
      </c>
      <c r="G252" s="1" t="s">
        <v>2926</v>
      </c>
      <c r="H252" s="1" t="s">
        <v>718</v>
      </c>
      <c r="I252" s="1" t="s">
        <v>2777</v>
      </c>
      <c r="J252" s="1" t="s">
        <v>1168</v>
      </c>
      <c r="K252" s="1" t="str">
        <f>HYPERLINK("https%3A%2F%2Fwww.webofscience.com%2Fwos%2Fwoscc%2Ffull-record%2FWOS:001147266300001","View Full Record in Web of Science")</f>
        <v>View Full Record in Web of Science</v>
      </c>
      <c r="L252" s="1"/>
      <c r="M252" s="1">
        <v>1</v>
      </c>
    </row>
    <row r="253" spans="1:13" x14ac:dyDescent="0.3">
      <c r="A253" s="1">
        <v>2024</v>
      </c>
      <c r="B253" s="1" t="s">
        <v>342</v>
      </c>
      <c r="C253" s="1" t="s">
        <v>369</v>
      </c>
      <c r="D253" s="1" t="s">
        <v>370</v>
      </c>
      <c r="E253" s="1" t="s">
        <v>372</v>
      </c>
      <c r="F253" s="1">
        <v>45448</v>
      </c>
      <c r="G253" s="1" t="s">
        <v>373</v>
      </c>
      <c r="H253" s="1" t="s">
        <v>374</v>
      </c>
      <c r="I253" s="1" t="s">
        <v>375</v>
      </c>
      <c r="J253" s="1" t="s">
        <v>376</v>
      </c>
      <c r="K253" s="1">
        <v>38</v>
      </c>
      <c r="L253" s="1" t="s">
        <v>362</v>
      </c>
      <c r="M253" s="1">
        <v>1</v>
      </c>
    </row>
    <row r="254" spans="1:13" x14ac:dyDescent="0.3">
      <c r="A254" s="1">
        <v>2022</v>
      </c>
      <c r="B254" s="1" t="s">
        <v>14</v>
      </c>
      <c r="C254" s="1" t="s">
        <v>36</v>
      </c>
      <c r="D254" s="1" t="s">
        <v>54</v>
      </c>
      <c r="E254" s="1" t="s">
        <v>55</v>
      </c>
      <c r="F254" s="1" t="s">
        <v>37</v>
      </c>
      <c r="G254" s="1" t="s">
        <v>56</v>
      </c>
      <c r="H254" s="1" t="s">
        <v>57</v>
      </c>
      <c r="I254" s="1" t="s">
        <v>59</v>
      </c>
      <c r="J254" s="1">
        <v>45859.763506944444</v>
      </c>
      <c r="K254" s="1">
        <v>45859.763506944444</v>
      </c>
      <c r="L254" s="1" t="s">
        <v>38</v>
      </c>
      <c r="M254" s="1">
        <v>1</v>
      </c>
    </row>
    <row r="255" spans="1:13" x14ac:dyDescent="0.3">
      <c r="A255" s="1">
        <v>2024</v>
      </c>
      <c r="B255" s="1" t="s">
        <v>342</v>
      </c>
      <c r="C255" s="1" t="s">
        <v>518</v>
      </c>
      <c r="D255" s="1" t="s">
        <v>181</v>
      </c>
      <c r="E255" s="1" t="s">
        <v>520</v>
      </c>
      <c r="F255" s="1">
        <v>45645</v>
      </c>
      <c r="G255" s="1" t="s">
        <v>521</v>
      </c>
      <c r="H255" s="1" t="s">
        <v>522</v>
      </c>
      <c r="I255" s="1" t="s">
        <v>523</v>
      </c>
      <c r="J255" s="1" t="s">
        <v>524</v>
      </c>
      <c r="K255" s="1">
        <v>51</v>
      </c>
      <c r="L255" s="1" t="s">
        <v>362</v>
      </c>
      <c r="M255" s="1">
        <v>1</v>
      </c>
    </row>
    <row r="256" spans="1:13" x14ac:dyDescent="0.3">
      <c r="A256" s="1">
        <v>2022</v>
      </c>
      <c r="B256" s="1" t="s">
        <v>342</v>
      </c>
      <c r="C256" s="1" t="s">
        <v>518</v>
      </c>
      <c r="D256" s="1" t="s">
        <v>61</v>
      </c>
      <c r="E256" s="1" t="s">
        <v>64</v>
      </c>
      <c r="F256" s="1">
        <v>44911</v>
      </c>
      <c r="G256" s="1" t="s">
        <v>521</v>
      </c>
      <c r="H256" s="1" t="s">
        <v>566</v>
      </c>
      <c r="I256" s="1" t="s">
        <v>567</v>
      </c>
      <c r="J256" s="1" t="s">
        <v>568</v>
      </c>
      <c r="K256" s="1">
        <v>52</v>
      </c>
      <c r="L256" s="1" t="s">
        <v>362</v>
      </c>
      <c r="M256" s="1">
        <v>1</v>
      </c>
    </row>
    <row r="257" spans="1:13" x14ac:dyDescent="0.3">
      <c r="A257" s="1">
        <v>2024</v>
      </c>
      <c r="B257" s="1" t="s">
        <v>342</v>
      </c>
      <c r="C257" s="1" t="s">
        <v>518</v>
      </c>
      <c r="D257" s="1" t="s">
        <v>193</v>
      </c>
      <c r="E257" s="1" t="s">
        <v>577</v>
      </c>
      <c r="F257" s="1">
        <v>45460</v>
      </c>
      <c r="G257" s="1" t="s">
        <v>521</v>
      </c>
      <c r="H257" s="1" t="s">
        <v>578</v>
      </c>
      <c r="I257" s="1" t="s">
        <v>579</v>
      </c>
      <c r="J257" s="1" t="s">
        <v>580</v>
      </c>
      <c r="K257" s="1">
        <v>75</v>
      </c>
      <c r="L257" s="1" t="s">
        <v>362</v>
      </c>
      <c r="M257" s="1">
        <v>1</v>
      </c>
    </row>
    <row r="258" spans="1:13" x14ac:dyDescent="0.3">
      <c r="A258" s="1">
        <v>2022</v>
      </c>
      <c r="B258" s="1" t="s">
        <v>2753</v>
      </c>
      <c r="C258" s="1" t="s">
        <v>2800</v>
      </c>
      <c r="D258" s="1" t="s">
        <v>2801</v>
      </c>
      <c r="E258" s="1" t="s">
        <v>60</v>
      </c>
      <c r="F258" s="1" t="s">
        <v>61</v>
      </c>
      <c r="G258" s="1" t="s">
        <v>2929</v>
      </c>
      <c r="H258" s="1" t="s">
        <v>357</v>
      </c>
      <c r="I258" s="1" t="s">
        <v>2919</v>
      </c>
      <c r="J258" s="1" t="s">
        <v>540</v>
      </c>
      <c r="K258" s="1" t="str">
        <f>HYPERLINK("https%3A%2F%2Fwww.webofscience.com%2Fwos%2Fwoscc%2Ffull-record%2FWOS:001373730300023","View Full Record in Web of Science")</f>
        <v>View Full Record in Web of Science</v>
      </c>
      <c r="L258" s="1"/>
      <c r="M258" s="1">
        <v>1</v>
      </c>
    </row>
    <row r="259" spans="1:13" x14ac:dyDescent="0.3">
      <c r="A259" s="1">
        <v>2024</v>
      </c>
      <c r="B259" s="1" t="s">
        <v>2753</v>
      </c>
      <c r="C259" s="1" t="s">
        <v>2800</v>
      </c>
      <c r="D259" s="1" t="s">
        <v>2869</v>
      </c>
      <c r="E259" s="1" t="s">
        <v>180</v>
      </c>
      <c r="F259" s="1" t="s">
        <v>181</v>
      </c>
      <c r="G259" s="1" t="s">
        <v>2932</v>
      </c>
      <c r="H259" s="1" t="s">
        <v>2770</v>
      </c>
      <c r="I259" s="1" t="s">
        <v>2777</v>
      </c>
      <c r="J259" s="1" t="s">
        <v>514</v>
      </c>
      <c r="K259" s="1" t="str">
        <f>HYPERLINK("https%3A%2F%2Fwww.webofscience.com%2Fwos%2Fwoscc%2Ffull-record%2FWOS:001178960100002","View Full Record in Web of Science")</f>
        <v>View Full Record in Web of Science</v>
      </c>
      <c r="L259" s="1"/>
      <c r="M259" s="1">
        <v>1</v>
      </c>
    </row>
    <row r="260" spans="1:13" x14ac:dyDescent="0.3">
      <c r="A260" s="1">
        <v>2024</v>
      </c>
      <c r="B260" s="1" t="s">
        <v>2753</v>
      </c>
      <c r="C260" s="1" t="s">
        <v>2800</v>
      </c>
      <c r="D260" s="1" t="s">
        <v>2900</v>
      </c>
      <c r="E260" s="1" t="s">
        <v>192</v>
      </c>
      <c r="F260" s="1" t="s">
        <v>193</v>
      </c>
      <c r="G260" s="1" t="s">
        <v>2936</v>
      </c>
      <c r="H260" s="1" t="s">
        <v>2867</v>
      </c>
      <c r="I260" s="1" t="s">
        <v>2817</v>
      </c>
      <c r="J260" s="1" t="s">
        <v>2937</v>
      </c>
      <c r="K260" s="1" t="str">
        <f>HYPERLINK("https%3A%2F%2Fwww.webofscience.com%2Fwos%2Fwoscc%2Ffull-record%2FWOS:001241160100026","View Full Record in Web of Science")</f>
        <v>View Full Record in Web of Science</v>
      </c>
      <c r="L260" s="1"/>
      <c r="M260" s="1">
        <v>1</v>
      </c>
    </row>
    <row r="261" spans="1:13" x14ac:dyDescent="0.3">
      <c r="A261" s="1">
        <v>2024</v>
      </c>
      <c r="B261" s="1" t="s">
        <v>1503</v>
      </c>
      <c r="C261" s="1" t="s">
        <v>2169</v>
      </c>
      <c r="D261" s="1" t="s">
        <v>2168</v>
      </c>
      <c r="E261" s="1" t="s">
        <v>2171</v>
      </c>
      <c r="F261" s="1" t="s">
        <v>2166</v>
      </c>
      <c r="G261" s="1" t="s">
        <v>2167</v>
      </c>
      <c r="H261" s="1">
        <v>1</v>
      </c>
      <c r="I261" s="1" t="s">
        <v>2170</v>
      </c>
      <c r="J261" s="1" t="s">
        <v>2172</v>
      </c>
      <c r="K261" s="1" t="s">
        <v>2173</v>
      </c>
      <c r="L261" s="1" t="s">
        <v>1502</v>
      </c>
      <c r="M261" s="1">
        <v>1</v>
      </c>
    </row>
    <row r="262" spans="1:13" x14ac:dyDescent="0.3">
      <c r="A262" s="1">
        <v>2024</v>
      </c>
      <c r="B262" s="1" t="s">
        <v>714</v>
      </c>
      <c r="C262" s="1" t="s">
        <v>967</v>
      </c>
      <c r="D262" s="1" t="s">
        <v>715</v>
      </c>
      <c r="E262" s="1" t="s">
        <v>1064</v>
      </c>
      <c r="F262" s="1" t="s">
        <v>1063</v>
      </c>
      <c r="G262" s="1" t="s">
        <v>970</v>
      </c>
      <c r="H262" s="1" t="s">
        <v>1044</v>
      </c>
      <c r="I262" s="1">
        <v>45597</v>
      </c>
      <c r="J262" s="1">
        <v>45865.374305555553</v>
      </c>
      <c r="K262" s="1">
        <v>45865.374305555553</v>
      </c>
      <c r="L262" s="1" t="s">
        <v>1046</v>
      </c>
      <c r="M262" s="1">
        <v>1</v>
      </c>
    </row>
    <row r="263" spans="1:13" x14ac:dyDescent="0.3">
      <c r="A263" s="1">
        <v>2022</v>
      </c>
      <c r="B263" s="1" t="s">
        <v>714</v>
      </c>
      <c r="C263" s="1" t="s">
        <v>967</v>
      </c>
      <c r="D263" s="1" t="s">
        <v>724</v>
      </c>
      <c r="E263" s="1" t="s">
        <v>901</v>
      </c>
      <c r="F263" s="1" t="s">
        <v>900</v>
      </c>
      <c r="G263" s="1" t="s">
        <v>970</v>
      </c>
      <c r="H263" s="1" t="s">
        <v>1367</v>
      </c>
      <c r="I263" s="1">
        <v>45931</v>
      </c>
      <c r="J263" s="1">
        <v>45865.374305555553</v>
      </c>
      <c r="K263" s="1">
        <v>45865.374305555553</v>
      </c>
      <c r="L263" s="1" t="s">
        <v>1369</v>
      </c>
      <c r="M263" s="1">
        <v>1</v>
      </c>
    </row>
    <row r="264" spans="1:13" x14ac:dyDescent="0.3">
      <c r="A264" s="1">
        <v>2025</v>
      </c>
      <c r="B264" s="1" t="s">
        <v>1503</v>
      </c>
      <c r="C264" s="1" t="s">
        <v>967</v>
      </c>
      <c r="D264" s="1" t="s">
        <v>1366</v>
      </c>
      <c r="E264" s="1" t="s">
        <v>1553</v>
      </c>
      <c r="F264" s="1" t="s">
        <v>1551</v>
      </c>
      <c r="G264" s="1" t="s">
        <v>1552</v>
      </c>
      <c r="H264" s="1">
        <v>0</v>
      </c>
      <c r="I264" s="1" t="s">
        <v>1367</v>
      </c>
      <c r="J264" s="1" t="s">
        <v>1554</v>
      </c>
      <c r="K264" s="1" t="s">
        <v>1555</v>
      </c>
      <c r="L264" s="1" t="s">
        <v>1502</v>
      </c>
      <c r="M264" s="1">
        <v>1</v>
      </c>
    </row>
    <row r="265" spans="1:13" x14ac:dyDescent="0.3">
      <c r="A265" s="1">
        <v>2023</v>
      </c>
      <c r="B265" s="1" t="s">
        <v>2753</v>
      </c>
      <c r="C265" s="1" t="s">
        <v>2861</v>
      </c>
      <c r="D265" s="1" t="s">
        <v>2862</v>
      </c>
      <c r="E265" s="1" t="s">
        <v>968</v>
      </c>
      <c r="F265" s="1" t="s">
        <v>969</v>
      </c>
      <c r="G265" s="1" t="s">
        <v>434</v>
      </c>
      <c r="H265" s="1" t="s">
        <v>418</v>
      </c>
      <c r="I265" s="1" t="s">
        <v>2863</v>
      </c>
      <c r="J265" s="1" t="s">
        <v>435</v>
      </c>
      <c r="K265" s="1" t="str">
        <f>HYPERLINK("https%3A%2F%2Fwww.webofscience.com%2Fwos%2Fwoscc%2Ffull-record%2FWOS:001336306800024","View Full Record in Web of Science")</f>
        <v>View Full Record in Web of Science</v>
      </c>
      <c r="L265" s="1"/>
      <c r="M265" s="1">
        <v>1</v>
      </c>
    </row>
    <row r="266" spans="1:13" x14ac:dyDescent="0.3">
      <c r="A266" s="1">
        <v>2025</v>
      </c>
      <c r="B266" s="1" t="s">
        <v>714</v>
      </c>
      <c r="C266" s="1" t="s">
        <v>928</v>
      </c>
      <c r="D266" s="1" t="s">
        <v>730</v>
      </c>
      <c r="E266" s="1" t="s">
        <v>1482</v>
      </c>
      <c r="F266" s="1" t="s">
        <v>1481</v>
      </c>
      <c r="G266" s="1" t="s">
        <v>929</v>
      </c>
      <c r="H266" s="1" t="s">
        <v>1451</v>
      </c>
      <c r="I266" s="1">
        <v>45809</v>
      </c>
      <c r="J266" s="1">
        <v>45865.38480324074</v>
      </c>
      <c r="K266" s="1">
        <v>45865.38480324074</v>
      </c>
      <c r="L266" s="1" t="s">
        <v>1453</v>
      </c>
      <c r="M266" s="1">
        <v>1</v>
      </c>
    </row>
    <row r="267" spans="1:13" x14ac:dyDescent="0.3">
      <c r="A267" s="1">
        <v>2025</v>
      </c>
      <c r="B267" s="1" t="s">
        <v>1503</v>
      </c>
      <c r="C267" s="1" t="s">
        <v>928</v>
      </c>
      <c r="D267" s="1" t="s">
        <v>1450</v>
      </c>
      <c r="E267" s="1" t="s">
        <v>1537</v>
      </c>
      <c r="F267" s="1" t="s">
        <v>1535</v>
      </c>
      <c r="G267" s="1" t="s">
        <v>1536</v>
      </c>
      <c r="H267" s="1">
        <v>3</v>
      </c>
      <c r="I267" s="1" t="s">
        <v>1451</v>
      </c>
      <c r="J267" s="1" t="s">
        <v>1538</v>
      </c>
      <c r="K267" s="1" t="s">
        <v>1539</v>
      </c>
      <c r="L267" s="1" t="s">
        <v>1502</v>
      </c>
      <c r="M267" s="1">
        <v>1</v>
      </c>
    </row>
    <row r="268" spans="1:13" x14ac:dyDescent="0.3">
      <c r="A268" s="1">
        <v>2024</v>
      </c>
      <c r="B268" s="1" t="s">
        <v>714</v>
      </c>
      <c r="C268" s="1" t="s">
        <v>1324</v>
      </c>
      <c r="D268" s="1" t="s">
        <v>965</v>
      </c>
      <c r="E268" s="1" t="s">
        <v>1035</v>
      </c>
      <c r="F268" s="1" t="s">
        <v>1034</v>
      </c>
      <c r="G268" s="1" t="s">
        <v>1325</v>
      </c>
      <c r="H268" s="1" t="s">
        <v>1326</v>
      </c>
      <c r="I268" s="1">
        <v>45413</v>
      </c>
      <c r="J268" s="1">
        <v>45865.394502314812</v>
      </c>
      <c r="K268" s="1">
        <v>45865.394502314812</v>
      </c>
      <c r="L268" s="1" t="s">
        <v>1328</v>
      </c>
      <c r="M268" s="1">
        <v>1</v>
      </c>
    </row>
    <row r="269" spans="1:13" x14ac:dyDescent="0.3">
      <c r="A269" s="1">
        <v>2024</v>
      </c>
      <c r="B269" s="1" t="s">
        <v>714</v>
      </c>
      <c r="C269" s="1" t="s">
        <v>884</v>
      </c>
      <c r="D269" s="1" t="s">
        <v>755</v>
      </c>
      <c r="E269" s="1" t="s">
        <v>1316</v>
      </c>
      <c r="F269" s="1" t="s">
        <v>1315</v>
      </c>
      <c r="G269" s="1" t="s">
        <v>887</v>
      </c>
      <c r="H269" s="1" t="s">
        <v>888</v>
      </c>
      <c r="I269" s="1">
        <v>44805</v>
      </c>
      <c r="J269" s="1">
        <v>45865.38480324074</v>
      </c>
      <c r="K269" s="1">
        <v>45865.38480324074</v>
      </c>
      <c r="L269" s="1" t="s">
        <v>890</v>
      </c>
      <c r="M269" s="1">
        <v>1</v>
      </c>
    </row>
    <row r="270" spans="1:13" x14ac:dyDescent="0.3">
      <c r="A270" s="1">
        <v>2024</v>
      </c>
      <c r="B270" s="1" t="s">
        <v>1503</v>
      </c>
      <c r="C270" s="1" t="s">
        <v>1710</v>
      </c>
      <c r="D270" s="1" t="s">
        <v>2011</v>
      </c>
      <c r="E270" s="1" t="s">
        <v>2013</v>
      </c>
      <c r="F270" s="1" t="s">
        <v>2009</v>
      </c>
      <c r="G270" s="1" t="s">
        <v>2010</v>
      </c>
      <c r="H270" s="1">
        <v>0</v>
      </c>
      <c r="I270" s="1" t="s">
        <v>2012</v>
      </c>
      <c r="J270" s="1" t="s">
        <v>2014</v>
      </c>
      <c r="K270" s="1" t="s">
        <v>2015</v>
      </c>
      <c r="L270" s="1" t="s">
        <v>1502</v>
      </c>
      <c r="M270" s="1">
        <v>1</v>
      </c>
    </row>
    <row r="271" spans="1:13" x14ac:dyDescent="0.3">
      <c r="A271" s="1">
        <v>2024</v>
      </c>
      <c r="B271" s="1" t="s">
        <v>1503</v>
      </c>
      <c r="C271" s="1" t="s">
        <v>1710</v>
      </c>
      <c r="D271" s="1" t="s">
        <v>2020</v>
      </c>
      <c r="E271" s="1" t="s">
        <v>2022</v>
      </c>
      <c r="F271" s="1" t="s">
        <v>2018</v>
      </c>
      <c r="G271" s="1" t="s">
        <v>2019</v>
      </c>
      <c r="H271" s="1">
        <v>1</v>
      </c>
      <c r="I271" s="1" t="s">
        <v>2021</v>
      </c>
      <c r="J271" s="1" t="s">
        <v>2023</v>
      </c>
      <c r="K271" s="1" t="s">
        <v>2024</v>
      </c>
      <c r="L271" s="1" t="s">
        <v>1502</v>
      </c>
      <c r="M271" s="1">
        <v>1</v>
      </c>
    </row>
    <row r="272" spans="1:13" x14ac:dyDescent="0.3">
      <c r="A272" s="1">
        <v>2025</v>
      </c>
      <c r="B272" s="1" t="s">
        <v>1503</v>
      </c>
      <c r="C272" s="1" t="s">
        <v>1710</v>
      </c>
      <c r="D272" s="1" t="s">
        <v>1709</v>
      </c>
      <c r="E272" s="1" t="s">
        <v>1712</v>
      </c>
      <c r="F272" s="1" t="s">
        <v>1707</v>
      </c>
      <c r="G272" s="1" t="s">
        <v>1708</v>
      </c>
      <c r="H272" s="1">
        <v>0</v>
      </c>
      <c r="I272" s="1" t="s">
        <v>1711</v>
      </c>
      <c r="J272" s="1" t="s">
        <v>1713</v>
      </c>
      <c r="K272" s="1" t="s">
        <v>1714</v>
      </c>
      <c r="L272" s="1" t="s">
        <v>1502</v>
      </c>
      <c r="M272" s="1">
        <v>1</v>
      </c>
    </row>
    <row r="273" spans="1:13" x14ac:dyDescent="0.3">
      <c r="A273" s="1">
        <v>2020</v>
      </c>
      <c r="B273" s="1" t="s">
        <v>1503</v>
      </c>
      <c r="C273" s="1" t="s">
        <v>2132</v>
      </c>
      <c r="D273" s="1" t="s">
        <v>2718</v>
      </c>
      <c r="E273" s="1" t="s">
        <v>2720</v>
      </c>
      <c r="F273" s="1" t="s">
        <v>2716</v>
      </c>
      <c r="G273" s="1" t="s">
        <v>2717</v>
      </c>
      <c r="H273" s="1">
        <v>3</v>
      </c>
      <c r="I273" s="1" t="s">
        <v>2719</v>
      </c>
      <c r="J273" s="1" t="s">
        <v>2721</v>
      </c>
      <c r="K273" s="5" t="str">
        <f>HYPERLINK("https%3A%2F%2Fwww.webofscience.com%2Fwos%2Fwoscc%2Ffull-record%2FWOS:000524291600008","View Full Record in Web of Science")</f>
        <v>View Full Record in Web of Science</v>
      </c>
      <c r="L273" s="1" t="s">
        <v>1502</v>
      </c>
      <c r="M273" s="1">
        <v>1</v>
      </c>
    </row>
    <row r="274" spans="1:13" x14ac:dyDescent="0.3">
      <c r="A274" s="1">
        <v>2024</v>
      </c>
      <c r="B274" s="1" t="s">
        <v>1503</v>
      </c>
      <c r="C274" s="1" t="s">
        <v>2132</v>
      </c>
      <c r="D274" s="1" t="s">
        <v>2131</v>
      </c>
      <c r="E274" s="1" t="s">
        <v>2134</v>
      </c>
      <c r="F274" s="1" t="s">
        <v>2129</v>
      </c>
      <c r="G274" s="1" t="s">
        <v>2130</v>
      </c>
      <c r="H274" s="1">
        <v>5</v>
      </c>
      <c r="I274" s="1" t="s">
        <v>2133</v>
      </c>
      <c r="J274" s="1" t="s">
        <v>2135</v>
      </c>
      <c r="K274" s="5" t="str">
        <f>HYPERLINK("https%3A%2F%2Fwww.webofscience.com%2Fwos%2Fwoscc%2Ffull-record%2FWOS:000524291600008","View Full Record in Web of Science")</f>
        <v>View Full Record in Web of Science</v>
      </c>
      <c r="L274" s="1" t="s">
        <v>1502</v>
      </c>
      <c r="M274" s="1">
        <v>1</v>
      </c>
    </row>
    <row r="275" spans="1:13" x14ac:dyDescent="0.3">
      <c r="A275" s="1">
        <v>2023</v>
      </c>
      <c r="B275" s="1" t="s">
        <v>714</v>
      </c>
      <c r="C275" s="1" t="s">
        <v>1454</v>
      </c>
      <c r="D275" s="1" t="s">
        <v>778</v>
      </c>
      <c r="E275" s="1" t="s">
        <v>936</v>
      </c>
      <c r="F275" s="1" t="s">
        <v>935</v>
      </c>
      <c r="G275" s="1" t="s">
        <v>1455</v>
      </c>
      <c r="H275" s="1" t="s">
        <v>1456</v>
      </c>
      <c r="I275" s="1">
        <v>45992</v>
      </c>
      <c r="J275" s="1">
        <v>45865.38480324074</v>
      </c>
      <c r="K275" s="1">
        <v>45865.38480324074</v>
      </c>
      <c r="L275" s="1" t="s">
        <v>1458</v>
      </c>
      <c r="M275" s="1">
        <v>1</v>
      </c>
    </row>
    <row r="276" spans="1:13" x14ac:dyDescent="0.3">
      <c r="A276" s="1">
        <v>2025</v>
      </c>
      <c r="B276" s="1" t="s">
        <v>1503</v>
      </c>
      <c r="C276" s="1" t="s">
        <v>1693</v>
      </c>
      <c r="D276" s="1" t="s">
        <v>1692</v>
      </c>
      <c r="E276" s="1" t="s">
        <v>1695</v>
      </c>
      <c r="F276" s="1" t="s">
        <v>1690</v>
      </c>
      <c r="G276" s="1" t="s">
        <v>1691</v>
      </c>
      <c r="H276" s="1">
        <v>0</v>
      </c>
      <c r="I276" s="1" t="s">
        <v>1694</v>
      </c>
      <c r="J276" s="1" t="s">
        <v>1696</v>
      </c>
      <c r="K276" s="5" t="str">
        <f>HYPERLINK("https%3A%2F%2Fwww.webofscience.com%2Fwos%2Fwoscc%2Ffull-record%2FWOS:000524291600008","View Full Record in Web of Science")</f>
        <v>View Full Record in Web of Science</v>
      </c>
      <c r="L276" s="1" t="s">
        <v>1502</v>
      </c>
      <c r="M276" s="1">
        <v>1</v>
      </c>
    </row>
    <row r="277" spans="1:13" x14ac:dyDescent="0.3">
      <c r="A277" s="1">
        <v>2025</v>
      </c>
      <c r="B277" s="1" t="s">
        <v>1503</v>
      </c>
      <c r="C277" s="1" t="s">
        <v>1693</v>
      </c>
      <c r="D277" s="1" t="s">
        <v>1730</v>
      </c>
      <c r="E277" s="1" t="s">
        <v>1732</v>
      </c>
      <c r="F277" s="1" t="s">
        <v>1728</v>
      </c>
      <c r="G277" s="1" t="s">
        <v>1729</v>
      </c>
      <c r="H277" s="1">
        <v>0</v>
      </c>
      <c r="I277" s="1" t="s">
        <v>1731</v>
      </c>
      <c r="J277" s="1" t="s">
        <v>1733</v>
      </c>
      <c r="K277" s="5" t="str">
        <f>HYPERLINK("https%3A%2F%2Fwww.webofscience.com%2Fwos%2Fwoscc%2Ffull-record%2FWOS:000524291600008","View Full Record in Web of Science")</f>
        <v>View Full Record in Web of Science</v>
      </c>
      <c r="L277" s="1" t="s">
        <v>1502</v>
      </c>
      <c r="M277" s="1">
        <v>1</v>
      </c>
    </row>
    <row r="278" spans="1:13" x14ac:dyDescent="0.3">
      <c r="A278" s="1">
        <v>2020</v>
      </c>
      <c r="B278" s="1" t="s">
        <v>714</v>
      </c>
      <c r="C278" s="1" t="s">
        <v>799</v>
      </c>
      <c r="D278" s="1" t="s">
        <v>751</v>
      </c>
      <c r="E278" s="1" t="s">
        <v>763</v>
      </c>
      <c r="F278" s="1" t="s">
        <v>762</v>
      </c>
      <c r="G278" s="1" t="s">
        <v>802</v>
      </c>
      <c r="H278" s="1" t="s">
        <v>803</v>
      </c>
      <c r="I278" s="1">
        <v>44197</v>
      </c>
      <c r="J278" s="1">
        <v>45865.374305555553</v>
      </c>
      <c r="K278" s="1">
        <v>45865.374305555553</v>
      </c>
      <c r="L278" s="1" t="s">
        <v>805</v>
      </c>
      <c r="M278" s="1">
        <v>1</v>
      </c>
    </row>
    <row r="279" spans="1:13" x14ac:dyDescent="0.3">
      <c r="A279" s="1">
        <v>2022</v>
      </c>
      <c r="B279" s="1" t="s">
        <v>2753</v>
      </c>
      <c r="C279" s="1" t="s">
        <v>2790</v>
      </c>
      <c r="D279" s="1" t="s">
        <v>2791</v>
      </c>
      <c r="E279" s="1" t="s">
        <v>2792</v>
      </c>
      <c r="F279" s="1" t="s">
        <v>2793</v>
      </c>
      <c r="G279" s="1" t="s">
        <v>2945</v>
      </c>
      <c r="H279" s="1" t="s">
        <v>2758</v>
      </c>
      <c r="I279" s="1" t="s">
        <v>2758</v>
      </c>
      <c r="J279" s="1" t="s">
        <v>348</v>
      </c>
      <c r="K279" s="1" t="str">
        <f>HYPERLINK("https%3A%2F%2Fwww.webofscience.com%2Fwos%2Fwoscc%2Ffull-record%2FWOS:001499502700001","View Full Record in Web of Science")</f>
        <v>View Full Record in Web of Science</v>
      </c>
      <c r="L279" s="1"/>
      <c r="M279" s="1">
        <v>1</v>
      </c>
    </row>
    <row r="280" spans="1:13" x14ac:dyDescent="0.3">
      <c r="A280" s="1">
        <v>2022</v>
      </c>
      <c r="B280" s="1" t="s">
        <v>1503</v>
      </c>
      <c r="C280" s="1" t="s">
        <v>2306</v>
      </c>
      <c r="D280" s="1" t="s">
        <v>2492</v>
      </c>
      <c r="E280" s="1" t="s">
        <v>2494</v>
      </c>
      <c r="F280" s="1" t="s">
        <v>2490</v>
      </c>
      <c r="G280" s="1" t="s">
        <v>2491</v>
      </c>
      <c r="H280" s="1">
        <v>12</v>
      </c>
      <c r="I280" s="1" t="s">
        <v>2493</v>
      </c>
      <c r="J280" s="1" t="s">
        <v>2495</v>
      </c>
      <c r="K280" s="5" t="str">
        <f>HYPERLINK("https%3A%2F%2Fwww.webofscience.com%2Fwos%2Fwoscc%2Ffull-record%2FWOS:000524291600008","View Full Record in Web of Science")</f>
        <v>View Full Record in Web of Science</v>
      </c>
      <c r="L280" s="1" t="s">
        <v>1502</v>
      </c>
      <c r="M280" s="1">
        <v>1</v>
      </c>
    </row>
    <row r="281" spans="1:13" x14ac:dyDescent="0.3">
      <c r="A281" s="1">
        <v>2023</v>
      </c>
      <c r="B281" s="1" t="s">
        <v>1503</v>
      </c>
      <c r="C281" s="1" t="s">
        <v>2306</v>
      </c>
      <c r="D281" s="1" t="s">
        <v>2305</v>
      </c>
      <c r="E281" s="1" t="s">
        <v>2308</v>
      </c>
      <c r="F281" s="1" t="s">
        <v>2303</v>
      </c>
      <c r="G281" s="1" t="s">
        <v>2304</v>
      </c>
      <c r="H281" s="1">
        <v>1</v>
      </c>
      <c r="I281" s="1" t="s">
        <v>2307</v>
      </c>
      <c r="J281" s="1" t="s">
        <v>2309</v>
      </c>
      <c r="K281" s="5" t="str">
        <f>HYPERLINK("https%3A%2F%2Fwww.webofscience.com%2Fwos%2Fwoscc%2Ffull-record%2FWOS:000524291600008","View Full Record in Web of Science")</f>
        <v>View Full Record in Web of Science</v>
      </c>
      <c r="L281" s="1" t="s">
        <v>1502</v>
      </c>
      <c r="M281" s="1">
        <v>1</v>
      </c>
    </row>
    <row r="282" spans="1:13" x14ac:dyDescent="0.3">
      <c r="A282" s="1">
        <v>2023</v>
      </c>
      <c r="B282" s="1" t="s">
        <v>1503</v>
      </c>
      <c r="C282" s="1" t="s">
        <v>1928</v>
      </c>
      <c r="D282" s="1" t="s">
        <v>2542</v>
      </c>
      <c r="E282" s="1" t="s">
        <v>2544</v>
      </c>
      <c r="F282" s="1" t="s">
        <v>2540</v>
      </c>
      <c r="G282" s="1" t="s">
        <v>2541</v>
      </c>
      <c r="H282" s="1">
        <v>2</v>
      </c>
      <c r="I282" s="1" t="s">
        <v>2543</v>
      </c>
      <c r="J282" s="1" t="s">
        <v>2545</v>
      </c>
      <c r="K282" s="5" t="str">
        <f>HYPERLINK("https%3A%2F%2Fwww.webofscience.com%2Fwos%2Fwoscc%2Ffull-record%2FWOS:000524291600008","View Full Record in Web of Science")</f>
        <v>View Full Record in Web of Science</v>
      </c>
      <c r="L282" s="1" t="s">
        <v>1502</v>
      </c>
      <c r="M282" s="1">
        <v>1</v>
      </c>
    </row>
    <row r="283" spans="1:13" x14ac:dyDescent="0.3">
      <c r="A283" s="1">
        <v>2024</v>
      </c>
      <c r="B283" s="1" t="s">
        <v>1503</v>
      </c>
      <c r="C283" s="1" t="s">
        <v>2179</v>
      </c>
      <c r="D283" s="1" t="s">
        <v>2178</v>
      </c>
      <c r="E283" s="1" t="s">
        <v>2180</v>
      </c>
      <c r="F283" s="1" t="s">
        <v>2176</v>
      </c>
      <c r="G283" s="1" t="s">
        <v>2177</v>
      </c>
      <c r="H283" s="1">
        <v>1</v>
      </c>
      <c r="I283" s="1"/>
      <c r="J283" s="1" t="s">
        <v>2181</v>
      </c>
      <c r="K283" s="5" t="str">
        <f>HYPERLINK("https%3A%2F%2Fwww.webofscience.com%2Fwos%2Fwoscc%2Ffull-record%2FWOS:000524291600008","View Full Record in Web of Science")</f>
        <v>View Full Record in Web of Science</v>
      </c>
      <c r="L283" s="1" t="s">
        <v>1502</v>
      </c>
      <c r="M283" s="1">
        <v>1</v>
      </c>
    </row>
    <row r="284" spans="1:13" x14ac:dyDescent="0.3">
      <c r="A284" s="1">
        <v>2024</v>
      </c>
      <c r="B284" s="1" t="s">
        <v>1503</v>
      </c>
      <c r="C284" s="1" t="s">
        <v>2030</v>
      </c>
      <c r="D284" s="1" t="s">
        <v>2029</v>
      </c>
      <c r="E284" s="1" t="s">
        <v>2032</v>
      </c>
      <c r="F284" s="1" t="s">
        <v>2027</v>
      </c>
      <c r="G284" s="1" t="s">
        <v>2028</v>
      </c>
      <c r="H284" s="1">
        <v>9</v>
      </c>
      <c r="I284" s="1" t="s">
        <v>2031</v>
      </c>
      <c r="J284" s="1" t="s">
        <v>2033</v>
      </c>
      <c r="K284" s="1" t="s">
        <v>2034</v>
      </c>
      <c r="L284" s="1" t="s">
        <v>1502</v>
      </c>
      <c r="M284" s="1">
        <v>1</v>
      </c>
    </row>
    <row r="285" spans="1:13" x14ac:dyDescent="0.3">
      <c r="A285" s="1">
        <v>2024</v>
      </c>
      <c r="B285" s="1" t="s">
        <v>1503</v>
      </c>
      <c r="C285" s="1" t="s">
        <v>2030</v>
      </c>
      <c r="D285" s="1" t="s">
        <v>2228</v>
      </c>
      <c r="E285" s="1" t="s">
        <v>2230</v>
      </c>
      <c r="F285" s="1" t="s">
        <v>2226</v>
      </c>
      <c r="G285" s="1" t="s">
        <v>2227</v>
      </c>
      <c r="H285" s="1">
        <v>5</v>
      </c>
      <c r="I285" s="1" t="s">
        <v>2229</v>
      </c>
      <c r="J285" s="1" t="s">
        <v>2231</v>
      </c>
      <c r="K285" s="1" t="s">
        <v>2232</v>
      </c>
      <c r="L285" s="1" t="s">
        <v>1502</v>
      </c>
      <c r="M285" s="1">
        <v>1</v>
      </c>
    </row>
    <row r="286" spans="1:13" x14ac:dyDescent="0.3">
      <c r="A286" s="1">
        <v>2025</v>
      </c>
      <c r="B286" s="1" t="s">
        <v>1503</v>
      </c>
      <c r="C286" s="1" t="s">
        <v>1542</v>
      </c>
      <c r="D286" s="1" t="s">
        <v>1738</v>
      </c>
      <c r="E286" s="1" t="s">
        <v>1740</v>
      </c>
      <c r="F286" s="1" t="s">
        <v>1736</v>
      </c>
      <c r="G286" s="1" t="s">
        <v>1737</v>
      </c>
      <c r="H286" s="1">
        <v>0</v>
      </c>
      <c r="I286" s="1" t="s">
        <v>1739</v>
      </c>
      <c r="J286" s="1" t="s">
        <v>1741</v>
      </c>
      <c r="K286" s="5" t="str">
        <f>HYPERLINK("https%3A%2F%2Fwww.webofscience.com%2Fwos%2Fwoscc%2Ffull-record%2FWOS:000524291600008","View Full Record in Web of Science")</f>
        <v>View Full Record in Web of Science</v>
      </c>
      <c r="L286" s="1" t="s">
        <v>1502</v>
      </c>
      <c r="M286" s="1">
        <v>1</v>
      </c>
    </row>
    <row r="287" spans="1:13" x14ac:dyDescent="0.3">
      <c r="A287" s="1">
        <v>2024</v>
      </c>
      <c r="B287" s="1" t="s">
        <v>1503</v>
      </c>
      <c r="C287" s="1" t="s">
        <v>1613</v>
      </c>
      <c r="D287" s="1" t="s">
        <v>2209</v>
      </c>
      <c r="E287" s="1" t="s">
        <v>2211</v>
      </c>
      <c r="F287" s="1" t="s">
        <v>2208</v>
      </c>
      <c r="G287" s="1">
        <v>57216940144</v>
      </c>
      <c r="H287" s="1">
        <v>53</v>
      </c>
      <c r="I287" s="1" t="s">
        <v>2210</v>
      </c>
      <c r="J287" s="1" t="s">
        <v>2212</v>
      </c>
      <c r="K287" s="1" t="s">
        <v>2213</v>
      </c>
      <c r="L287" s="1" t="s">
        <v>1502</v>
      </c>
      <c r="M287" s="1">
        <v>1</v>
      </c>
    </row>
    <row r="288" spans="1:13" x14ac:dyDescent="0.3">
      <c r="A288" s="1">
        <v>2024</v>
      </c>
      <c r="B288" s="1" t="s">
        <v>1503</v>
      </c>
      <c r="C288" s="1" t="s">
        <v>1830</v>
      </c>
      <c r="D288" s="1" t="s">
        <v>1829</v>
      </c>
      <c r="E288" s="1" t="s">
        <v>1832</v>
      </c>
      <c r="F288" s="1" t="s">
        <v>1587</v>
      </c>
      <c r="G288" s="1" t="s">
        <v>1588</v>
      </c>
      <c r="H288" s="1">
        <v>4</v>
      </c>
      <c r="I288" s="1" t="s">
        <v>1831</v>
      </c>
      <c r="J288" s="1" t="s">
        <v>1833</v>
      </c>
      <c r="K288" s="1" t="s">
        <v>1834</v>
      </c>
      <c r="L288" s="1" t="s">
        <v>1502</v>
      </c>
      <c r="M288" s="1">
        <v>1</v>
      </c>
    </row>
    <row r="289" spans="1:13" x14ac:dyDescent="0.3">
      <c r="A289" s="1">
        <v>2023</v>
      </c>
      <c r="B289" s="1" t="s">
        <v>1503</v>
      </c>
      <c r="C289" s="1" t="s">
        <v>1515</v>
      </c>
      <c r="D289" s="1" t="s">
        <v>2296</v>
      </c>
      <c r="E289" s="1" t="s">
        <v>2298</v>
      </c>
      <c r="F289" s="1" t="s">
        <v>2294</v>
      </c>
      <c r="G289" s="1" t="s">
        <v>2295</v>
      </c>
      <c r="H289" s="1">
        <v>5</v>
      </c>
      <c r="I289" s="1" t="s">
        <v>2297</v>
      </c>
      <c r="J289" s="1" t="s">
        <v>2299</v>
      </c>
      <c r="K289" s="1" t="s">
        <v>2300</v>
      </c>
      <c r="L289" s="1" t="s">
        <v>1502</v>
      </c>
      <c r="M289" s="1">
        <v>1</v>
      </c>
    </row>
    <row r="290" spans="1:13" x14ac:dyDescent="0.3">
      <c r="A290" s="1">
        <v>2022</v>
      </c>
      <c r="B290" s="1" t="s">
        <v>714</v>
      </c>
      <c r="C290" s="1" t="s">
        <v>737</v>
      </c>
      <c r="D290" s="1" t="s">
        <v>751</v>
      </c>
      <c r="E290" s="1" t="s">
        <v>898</v>
      </c>
      <c r="F290" s="1" t="s">
        <v>897</v>
      </c>
      <c r="G290" s="1" t="s">
        <v>738</v>
      </c>
      <c r="H290" s="1" t="s">
        <v>813</v>
      </c>
      <c r="I290" s="1">
        <v>44378</v>
      </c>
      <c r="J290" s="1">
        <v>45865.374305555553</v>
      </c>
      <c r="K290" s="1">
        <v>45865.374305555553</v>
      </c>
      <c r="L290" s="1" t="s">
        <v>815</v>
      </c>
      <c r="M290" s="1">
        <v>1</v>
      </c>
    </row>
    <row r="291" spans="1:13" x14ac:dyDescent="0.3">
      <c r="A291" s="1">
        <v>2022</v>
      </c>
      <c r="B291" s="1" t="s">
        <v>1503</v>
      </c>
      <c r="C291" s="1" t="s">
        <v>1584</v>
      </c>
      <c r="D291" s="1" t="s">
        <v>2427</v>
      </c>
      <c r="E291" s="1" t="s">
        <v>2429</v>
      </c>
      <c r="F291" s="1" t="s">
        <v>2426</v>
      </c>
      <c r="G291" s="1">
        <v>56208197700</v>
      </c>
      <c r="H291" s="1">
        <v>10</v>
      </c>
      <c r="I291" s="1" t="s">
        <v>2428</v>
      </c>
      <c r="J291" s="1" t="s">
        <v>2430</v>
      </c>
      <c r="K291" s="1" t="s">
        <v>2431</v>
      </c>
      <c r="L291" s="1" t="s">
        <v>1502</v>
      </c>
      <c r="M291" s="1">
        <v>1</v>
      </c>
    </row>
    <row r="292" spans="1:13" x14ac:dyDescent="0.3">
      <c r="A292" s="1">
        <v>2024</v>
      </c>
      <c r="B292" s="1" t="s">
        <v>1503</v>
      </c>
      <c r="C292" s="1" t="s">
        <v>1584</v>
      </c>
      <c r="D292" s="1" t="s">
        <v>1892</v>
      </c>
      <c r="E292" s="1" t="s">
        <v>1894</v>
      </c>
      <c r="F292" s="1" t="s">
        <v>1890</v>
      </c>
      <c r="G292" s="1" t="s">
        <v>1891</v>
      </c>
      <c r="H292" s="1">
        <v>1</v>
      </c>
      <c r="I292" s="1" t="s">
        <v>1893</v>
      </c>
      <c r="J292" s="1" t="s">
        <v>1895</v>
      </c>
      <c r="K292" s="1" t="s">
        <v>1896</v>
      </c>
      <c r="L292" s="1" t="s">
        <v>1502</v>
      </c>
      <c r="M292" s="1">
        <v>1</v>
      </c>
    </row>
    <row r="293" spans="1:13" x14ac:dyDescent="0.3">
      <c r="A293" s="1">
        <v>2024</v>
      </c>
      <c r="B293" s="1" t="s">
        <v>2753</v>
      </c>
      <c r="C293" s="1" t="s">
        <v>2909</v>
      </c>
      <c r="D293" s="1" t="s">
        <v>2910</v>
      </c>
      <c r="E293" s="1" t="s">
        <v>2911</v>
      </c>
      <c r="F293" s="1" t="s">
        <v>1892</v>
      </c>
      <c r="G293" s="1" t="s">
        <v>2949</v>
      </c>
      <c r="H293" s="1" t="s">
        <v>2950</v>
      </c>
      <c r="I293" s="1" t="s">
        <v>2758</v>
      </c>
      <c r="J293" s="1" t="s">
        <v>428</v>
      </c>
      <c r="K293" s="1" t="str">
        <f>HYPERLINK("https%3A%2F%2Fwww.webofscience.com%2Fwos%2Fwoscc%2Ffull-record%2FWOS:001398755600001","View Full Record in Web of Science")</f>
        <v>View Full Record in Web of Science</v>
      </c>
      <c r="L293" s="1"/>
      <c r="M293" s="1">
        <v>1</v>
      </c>
    </row>
    <row r="294" spans="1:13" x14ac:dyDescent="0.3">
      <c r="A294" s="1">
        <v>2021</v>
      </c>
      <c r="B294" s="1" t="s">
        <v>714</v>
      </c>
      <c r="C294" s="1" t="s">
        <v>965</v>
      </c>
      <c r="D294" s="1" t="s">
        <v>715</v>
      </c>
      <c r="E294" s="1" t="s">
        <v>795</v>
      </c>
      <c r="F294" s="1" t="s">
        <v>794</v>
      </c>
      <c r="G294" s="1" t="s">
        <v>966</v>
      </c>
      <c r="H294" s="1" t="s">
        <v>982</v>
      </c>
      <c r="I294" s="1">
        <v>45261</v>
      </c>
      <c r="J294" s="1">
        <v>45865.38480324074</v>
      </c>
      <c r="K294" s="1">
        <v>45865.38480324074</v>
      </c>
      <c r="L294" s="1" t="s">
        <v>984</v>
      </c>
      <c r="M294" s="1">
        <v>1</v>
      </c>
    </row>
    <row r="295" spans="1:13" x14ac:dyDescent="0.3">
      <c r="A295" s="1">
        <v>2024</v>
      </c>
      <c r="B295" s="1" t="s">
        <v>714</v>
      </c>
      <c r="C295" s="1" t="s">
        <v>965</v>
      </c>
      <c r="D295" s="1" t="s">
        <v>715</v>
      </c>
      <c r="E295" s="1" t="s">
        <v>1053</v>
      </c>
      <c r="F295" s="1" t="s">
        <v>1052</v>
      </c>
      <c r="G295" s="1" t="s">
        <v>966</v>
      </c>
      <c r="H295" s="1" t="s">
        <v>1036</v>
      </c>
      <c r="I295" s="1">
        <v>45444</v>
      </c>
      <c r="J295" s="1">
        <v>45865.374305555553</v>
      </c>
      <c r="K295" s="1">
        <v>45865.374305555553</v>
      </c>
      <c r="L295" s="1" t="s">
        <v>1038</v>
      </c>
      <c r="M295" s="1">
        <v>1</v>
      </c>
    </row>
    <row r="296" spans="1:13" x14ac:dyDescent="0.3">
      <c r="A296" s="1">
        <v>2024</v>
      </c>
      <c r="B296" s="1" t="s">
        <v>1503</v>
      </c>
      <c r="C296" s="1" t="s">
        <v>965</v>
      </c>
      <c r="D296" s="1" t="s">
        <v>1035</v>
      </c>
      <c r="E296" s="1" t="s">
        <v>2140</v>
      </c>
      <c r="F296" s="1" t="s">
        <v>2138</v>
      </c>
      <c r="G296" s="1" t="s">
        <v>2139</v>
      </c>
      <c r="H296" s="1">
        <v>2</v>
      </c>
      <c r="I296" s="1" t="s">
        <v>1036</v>
      </c>
      <c r="J296" s="1" t="s">
        <v>2141</v>
      </c>
      <c r="K296" s="5" t="str">
        <f>HYPERLINK("https%3A%2F%2Fwww.webofscience.com%2Fwos%2Fwoscc%2Ffull-record%2FWOS:000524291600008","View Full Record in Web of Science")</f>
        <v>View Full Record in Web of Science</v>
      </c>
      <c r="L296" s="1" t="s">
        <v>1502</v>
      </c>
      <c r="M296" s="1">
        <v>1</v>
      </c>
    </row>
    <row r="297" spans="1:13" x14ac:dyDescent="0.3">
      <c r="A297" s="1">
        <v>2025</v>
      </c>
      <c r="B297" s="1" t="s">
        <v>714</v>
      </c>
      <c r="C297" s="1" t="s">
        <v>764</v>
      </c>
      <c r="D297" s="1" t="s">
        <v>722</v>
      </c>
      <c r="E297" s="1" t="s">
        <v>1376</v>
      </c>
      <c r="F297" s="1" t="s">
        <v>1375</v>
      </c>
      <c r="G297" s="1" t="s">
        <v>765</v>
      </c>
      <c r="H297" s="1" t="s">
        <v>907</v>
      </c>
      <c r="I297" s="1">
        <v>44743</v>
      </c>
      <c r="J297" s="1">
        <v>45865.394490740742</v>
      </c>
      <c r="K297" s="1">
        <v>45865.394490740742</v>
      </c>
      <c r="L297" s="1" t="s">
        <v>909</v>
      </c>
      <c r="M297" s="1">
        <v>1</v>
      </c>
    </row>
    <row r="298" spans="1:13" x14ac:dyDescent="0.3">
      <c r="A298" s="1">
        <v>2024</v>
      </c>
      <c r="B298" s="1" t="s">
        <v>714</v>
      </c>
      <c r="C298" s="1" t="s">
        <v>764</v>
      </c>
      <c r="D298" s="1" t="s">
        <v>715</v>
      </c>
      <c r="E298" s="1" t="s">
        <v>1234</v>
      </c>
      <c r="F298" s="1" t="s">
        <v>1233</v>
      </c>
      <c r="G298" s="1" t="s">
        <v>765</v>
      </c>
      <c r="H298" s="1" t="s">
        <v>1153</v>
      </c>
      <c r="I298" s="1">
        <v>45627</v>
      </c>
      <c r="J298" s="1">
        <v>45865.374305555553</v>
      </c>
      <c r="K298" s="1">
        <v>45865.374305555553</v>
      </c>
      <c r="L298" s="1" t="s">
        <v>1155</v>
      </c>
      <c r="M298" s="1">
        <v>1</v>
      </c>
    </row>
    <row r="299" spans="1:13" x14ac:dyDescent="0.3">
      <c r="A299" s="1">
        <v>2020</v>
      </c>
      <c r="B299" s="1" t="s">
        <v>714</v>
      </c>
      <c r="C299" s="1" t="s">
        <v>764</v>
      </c>
      <c r="D299" s="1" t="s">
        <v>730</v>
      </c>
      <c r="E299" s="1" t="s">
        <v>732</v>
      </c>
      <c r="F299" s="1" t="s">
        <v>731</v>
      </c>
      <c r="G299" s="1" t="s">
        <v>765</v>
      </c>
      <c r="H299" s="1" t="s">
        <v>1400</v>
      </c>
      <c r="I299" s="1">
        <v>45658</v>
      </c>
      <c r="J299" s="1">
        <v>45865.374305555553</v>
      </c>
      <c r="K299" s="1">
        <v>45865.374305555553</v>
      </c>
      <c r="L299" s="1" t="s">
        <v>1402</v>
      </c>
      <c r="M299" s="1">
        <v>1</v>
      </c>
    </row>
    <row r="300" spans="1:13" x14ac:dyDescent="0.3">
      <c r="A300" s="1">
        <v>2024</v>
      </c>
      <c r="B300" s="1" t="s">
        <v>1503</v>
      </c>
      <c r="C300" s="1" t="s">
        <v>764</v>
      </c>
      <c r="D300" s="1" t="s">
        <v>1152</v>
      </c>
      <c r="E300" s="1" t="s">
        <v>1915</v>
      </c>
      <c r="F300" s="1" t="s">
        <v>1913</v>
      </c>
      <c r="G300" s="1" t="s">
        <v>1914</v>
      </c>
      <c r="H300" s="1">
        <v>1</v>
      </c>
      <c r="I300" s="1" t="s">
        <v>1153</v>
      </c>
      <c r="J300" s="1" t="s">
        <v>1916</v>
      </c>
      <c r="K300" s="1" t="s">
        <v>1917</v>
      </c>
      <c r="L300" s="1" t="s">
        <v>1502</v>
      </c>
      <c r="M300" s="1">
        <v>1</v>
      </c>
    </row>
    <row r="301" spans="1:13" x14ac:dyDescent="0.3">
      <c r="A301" s="1">
        <v>2024</v>
      </c>
      <c r="B301" s="1" t="s">
        <v>1503</v>
      </c>
      <c r="C301" s="1" t="s">
        <v>1698</v>
      </c>
      <c r="D301" s="1" t="s">
        <v>2073</v>
      </c>
      <c r="E301" s="1" t="s">
        <v>2075</v>
      </c>
      <c r="F301" s="1" t="s">
        <v>2071</v>
      </c>
      <c r="G301" s="1" t="s">
        <v>2072</v>
      </c>
      <c r="H301" s="1">
        <v>2</v>
      </c>
      <c r="I301" s="1" t="s">
        <v>2074</v>
      </c>
      <c r="J301" s="1" t="s">
        <v>2076</v>
      </c>
      <c r="K301" s="1" t="s">
        <v>2077</v>
      </c>
      <c r="L301" s="1" t="s">
        <v>1502</v>
      </c>
      <c r="M301" s="1">
        <v>1</v>
      </c>
    </row>
    <row r="302" spans="1:13" x14ac:dyDescent="0.3">
      <c r="A302" s="1">
        <v>2025</v>
      </c>
      <c r="B302" s="1" t="s">
        <v>714</v>
      </c>
      <c r="C302" s="1" t="s">
        <v>724</v>
      </c>
      <c r="D302" s="1" t="s">
        <v>1488</v>
      </c>
      <c r="E302" s="1" t="s">
        <v>1490</v>
      </c>
      <c r="F302" s="1" t="s">
        <v>1489</v>
      </c>
      <c r="G302" s="1" t="s">
        <v>725</v>
      </c>
      <c r="H302" s="1" t="s">
        <v>743</v>
      </c>
      <c r="I302" s="1">
        <v>43952</v>
      </c>
      <c r="J302" s="1">
        <v>45865.38480324074</v>
      </c>
      <c r="K302" s="1">
        <v>45865.38480324074</v>
      </c>
      <c r="L302" s="1" t="s">
        <v>745</v>
      </c>
      <c r="M302" s="1">
        <v>1</v>
      </c>
    </row>
    <row r="303" spans="1:13" x14ac:dyDescent="0.3">
      <c r="A303" s="1">
        <v>2025</v>
      </c>
      <c r="B303" s="1" t="s">
        <v>714</v>
      </c>
      <c r="C303" s="1" t="s">
        <v>724</v>
      </c>
      <c r="D303" s="1" t="s">
        <v>755</v>
      </c>
      <c r="E303" s="1" t="s">
        <v>1417</v>
      </c>
      <c r="F303" s="1" t="s">
        <v>1416</v>
      </c>
      <c r="G303" s="1" t="s">
        <v>725</v>
      </c>
      <c r="H303" s="1" t="s">
        <v>894</v>
      </c>
      <c r="I303" s="1">
        <v>44805</v>
      </c>
      <c r="J303" s="1">
        <v>45865.38480324074</v>
      </c>
      <c r="K303" s="1">
        <v>45865.38480324074</v>
      </c>
      <c r="L303" s="1" t="s">
        <v>896</v>
      </c>
      <c r="M303" s="1">
        <v>1</v>
      </c>
    </row>
    <row r="304" spans="1:13" x14ac:dyDescent="0.3">
      <c r="A304" s="1">
        <v>2024</v>
      </c>
      <c r="B304" s="1" t="s">
        <v>714</v>
      </c>
      <c r="C304" s="1" t="s">
        <v>724</v>
      </c>
      <c r="D304" s="1" t="s">
        <v>715</v>
      </c>
      <c r="E304" s="1" t="s">
        <v>1172</v>
      </c>
      <c r="F304" s="1" t="s">
        <v>1171</v>
      </c>
      <c r="G304" s="1" t="s">
        <v>725</v>
      </c>
      <c r="H304" s="1" t="s">
        <v>1120</v>
      </c>
      <c r="I304" s="1">
        <v>45505</v>
      </c>
      <c r="J304" s="1">
        <v>45865.374305555553</v>
      </c>
      <c r="K304" s="1">
        <v>45865.374305555553</v>
      </c>
      <c r="L304" s="1" t="s">
        <v>1122</v>
      </c>
      <c r="M304" s="1">
        <v>1</v>
      </c>
    </row>
    <row r="305" spans="1:13" x14ac:dyDescent="0.3">
      <c r="A305" s="1">
        <v>2024</v>
      </c>
      <c r="B305" s="1" t="s">
        <v>714</v>
      </c>
      <c r="C305" s="1" t="s">
        <v>724</v>
      </c>
      <c r="D305" s="1" t="s">
        <v>715</v>
      </c>
      <c r="E305" s="1" t="s">
        <v>1274</v>
      </c>
      <c r="F305" s="1" t="s">
        <v>1273</v>
      </c>
      <c r="G305" s="1" t="s">
        <v>725</v>
      </c>
      <c r="H305" s="1" t="s">
        <v>1175</v>
      </c>
      <c r="I305" s="1">
        <v>45292</v>
      </c>
      <c r="J305" s="1">
        <v>45865.374305555553</v>
      </c>
      <c r="K305" s="1">
        <v>45865.374305555553</v>
      </c>
      <c r="L305" s="1" t="s">
        <v>1177</v>
      </c>
      <c r="M305" s="1">
        <v>1</v>
      </c>
    </row>
    <row r="306" spans="1:13" x14ac:dyDescent="0.3">
      <c r="A306" s="1">
        <v>2024</v>
      </c>
      <c r="B306" s="1" t="s">
        <v>714</v>
      </c>
      <c r="C306" s="1" t="s">
        <v>724</v>
      </c>
      <c r="D306" s="1" t="s">
        <v>715</v>
      </c>
      <c r="E306" s="1" t="s">
        <v>1295</v>
      </c>
      <c r="F306" s="1" t="s">
        <v>1294</v>
      </c>
      <c r="G306" s="1" t="s">
        <v>725</v>
      </c>
      <c r="H306" s="1" t="s">
        <v>1200</v>
      </c>
      <c r="I306" s="1">
        <v>45292</v>
      </c>
      <c r="J306" s="1">
        <v>45865.374305555553</v>
      </c>
      <c r="K306" s="1">
        <v>45865.374305555553</v>
      </c>
      <c r="L306" s="1" t="s">
        <v>1202</v>
      </c>
      <c r="M306" s="1">
        <v>1</v>
      </c>
    </row>
    <row r="307" spans="1:13" x14ac:dyDescent="0.3">
      <c r="A307" s="1">
        <v>2024</v>
      </c>
      <c r="B307" s="1" t="s">
        <v>714</v>
      </c>
      <c r="C307" s="1" t="s">
        <v>724</v>
      </c>
      <c r="D307" s="1" t="s">
        <v>715</v>
      </c>
      <c r="E307" s="1" t="s">
        <v>1302</v>
      </c>
      <c r="F307" s="1" t="s">
        <v>1301</v>
      </c>
      <c r="G307" s="1" t="s">
        <v>725</v>
      </c>
      <c r="H307" s="1" t="s">
        <v>1210</v>
      </c>
      <c r="I307" s="1">
        <v>45292</v>
      </c>
      <c r="J307" s="1">
        <v>45865.374305555553</v>
      </c>
      <c r="K307" s="1">
        <v>45865.374305555553</v>
      </c>
      <c r="L307" s="1" t="s">
        <v>1212</v>
      </c>
      <c r="M307" s="1">
        <v>1</v>
      </c>
    </row>
    <row r="308" spans="1:13" x14ac:dyDescent="0.3">
      <c r="A308" s="1">
        <v>2024</v>
      </c>
      <c r="B308" s="1" t="s">
        <v>1503</v>
      </c>
      <c r="C308" s="1" t="s">
        <v>724</v>
      </c>
      <c r="D308" s="1" t="s">
        <v>1174</v>
      </c>
      <c r="E308" s="1" t="s">
        <v>2153</v>
      </c>
      <c r="F308" s="1" t="s">
        <v>2151</v>
      </c>
      <c r="G308" s="1" t="s">
        <v>2152</v>
      </c>
      <c r="H308" s="1">
        <v>2</v>
      </c>
      <c r="I308" s="1" t="s">
        <v>1175</v>
      </c>
      <c r="J308" s="1" t="s">
        <v>2154</v>
      </c>
      <c r="K308" s="1" t="s">
        <v>2155</v>
      </c>
      <c r="L308" s="1" t="s">
        <v>1502</v>
      </c>
      <c r="M308" s="1">
        <v>1</v>
      </c>
    </row>
    <row r="309" spans="1:13" x14ac:dyDescent="0.3">
      <c r="A309" s="1">
        <v>2024</v>
      </c>
      <c r="B309" s="1" t="s">
        <v>1503</v>
      </c>
      <c r="C309" s="1" t="s">
        <v>724</v>
      </c>
      <c r="D309" s="1" t="s">
        <v>2160</v>
      </c>
      <c r="E309" s="1" t="s">
        <v>2161</v>
      </c>
      <c r="F309" s="1" t="s">
        <v>2158</v>
      </c>
      <c r="G309" s="1" t="s">
        <v>2159</v>
      </c>
      <c r="H309" s="1">
        <v>12</v>
      </c>
      <c r="I309" s="1" t="s">
        <v>1210</v>
      </c>
      <c r="J309" s="1" t="s">
        <v>2162</v>
      </c>
      <c r="K309" s="1" t="s">
        <v>2163</v>
      </c>
      <c r="L309" s="1" t="s">
        <v>1502</v>
      </c>
      <c r="M309" s="1">
        <v>1</v>
      </c>
    </row>
    <row r="310" spans="1:13" x14ac:dyDescent="0.3">
      <c r="A310" s="1">
        <v>2023</v>
      </c>
      <c r="B310" s="1" t="s">
        <v>1503</v>
      </c>
      <c r="C310" s="1" t="s">
        <v>2446</v>
      </c>
      <c r="D310" s="1" t="s">
        <v>2445</v>
      </c>
      <c r="E310" s="1" t="s">
        <v>2448</v>
      </c>
      <c r="F310" s="1" t="s">
        <v>2443</v>
      </c>
      <c r="G310" s="1" t="s">
        <v>2444</v>
      </c>
      <c r="H310" s="1">
        <v>15</v>
      </c>
      <c r="I310" s="1" t="s">
        <v>2447</v>
      </c>
      <c r="J310" s="1"/>
      <c r="K310" s="1" t="s">
        <v>2449</v>
      </c>
      <c r="L310" s="1" t="s">
        <v>1502</v>
      </c>
      <c r="M310" s="1">
        <v>1</v>
      </c>
    </row>
    <row r="311" spans="1:13" x14ac:dyDescent="0.3">
      <c r="A311" s="1">
        <v>2022</v>
      </c>
      <c r="B311" s="1" t="s">
        <v>1503</v>
      </c>
      <c r="C311" s="1" t="s">
        <v>1524</v>
      </c>
      <c r="D311" s="1" t="s">
        <v>2467</v>
      </c>
      <c r="E311" s="1" t="s">
        <v>2469</v>
      </c>
      <c r="F311" s="1" t="s">
        <v>2465</v>
      </c>
      <c r="G311" s="1" t="s">
        <v>2466</v>
      </c>
      <c r="H311" s="1">
        <v>38</v>
      </c>
      <c r="I311" s="1" t="s">
        <v>2468</v>
      </c>
      <c r="J311" s="1" t="s">
        <v>2470</v>
      </c>
      <c r="K311" s="1" t="s">
        <v>2471</v>
      </c>
      <c r="L311" s="1" t="s">
        <v>1502</v>
      </c>
      <c r="M311" s="1">
        <v>1</v>
      </c>
    </row>
    <row r="312" spans="1:13" x14ac:dyDescent="0.3">
      <c r="A312" s="1">
        <v>2022</v>
      </c>
      <c r="B312" s="1" t="s">
        <v>1503</v>
      </c>
      <c r="C312" s="1" t="s">
        <v>1524</v>
      </c>
      <c r="D312" s="1" t="s">
        <v>2593</v>
      </c>
      <c r="E312" s="1" t="s">
        <v>2595</v>
      </c>
      <c r="F312" s="1" t="s">
        <v>2591</v>
      </c>
      <c r="G312" s="1" t="s">
        <v>2592</v>
      </c>
      <c r="H312" s="1">
        <v>21</v>
      </c>
      <c r="I312" s="1" t="s">
        <v>2594</v>
      </c>
      <c r="J312" s="1" t="s">
        <v>2596</v>
      </c>
      <c r="K312" s="1" t="s">
        <v>2597</v>
      </c>
      <c r="L312" s="1" t="s">
        <v>1502</v>
      </c>
      <c r="M312" s="1">
        <v>1</v>
      </c>
    </row>
    <row r="313" spans="1:13" x14ac:dyDescent="0.3">
      <c r="A313" s="1">
        <v>2022</v>
      </c>
      <c r="B313" s="1" t="s">
        <v>1503</v>
      </c>
      <c r="C313" s="1" t="s">
        <v>1524</v>
      </c>
      <c r="D313" s="1" t="s">
        <v>2634</v>
      </c>
      <c r="E313" s="1" t="s">
        <v>2636</v>
      </c>
      <c r="F313" s="1" t="s">
        <v>2632</v>
      </c>
      <c r="G313" s="1" t="s">
        <v>2633</v>
      </c>
      <c r="H313" s="1">
        <v>46</v>
      </c>
      <c r="I313" s="1" t="s">
        <v>2635</v>
      </c>
      <c r="J313" s="1" t="s">
        <v>2637</v>
      </c>
      <c r="K313" s="1" t="s">
        <v>2638</v>
      </c>
      <c r="L313" s="1" t="s">
        <v>1502</v>
      </c>
      <c r="M313" s="1">
        <v>1</v>
      </c>
    </row>
    <row r="314" spans="1:13" x14ac:dyDescent="0.3">
      <c r="A314" s="1">
        <v>2023</v>
      </c>
      <c r="B314" s="1" t="s">
        <v>1503</v>
      </c>
      <c r="C314" s="1" t="s">
        <v>1524</v>
      </c>
      <c r="D314" s="1" t="s">
        <v>2344</v>
      </c>
      <c r="E314" s="1" t="s">
        <v>2346</v>
      </c>
      <c r="F314" s="1" t="s">
        <v>2342</v>
      </c>
      <c r="G314" s="1" t="s">
        <v>2343</v>
      </c>
      <c r="H314" s="1">
        <v>6</v>
      </c>
      <c r="I314" s="1" t="s">
        <v>2345</v>
      </c>
      <c r="J314" s="1" t="s">
        <v>2347</v>
      </c>
      <c r="K314" s="1" t="s">
        <v>2348</v>
      </c>
      <c r="L314" s="1" t="s">
        <v>1502</v>
      </c>
      <c r="M314" s="1">
        <v>1</v>
      </c>
    </row>
    <row r="315" spans="1:13" x14ac:dyDescent="0.3">
      <c r="A315" s="1">
        <v>2024</v>
      </c>
      <c r="B315" s="1" t="s">
        <v>1503</v>
      </c>
      <c r="C315" s="1" t="s">
        <v>1524</v>
      </c>
      <c r="D315" s="1" t="s">
        <v>2097</v>
      </c>
      <c r="E315" s="1" t="s">
        <v>2099</v>
      </c>
      <c r="F315" s="1" t="s">
        <v>2095</v>
      </c>
      <c r="G315" s="1" t="s">
        <v>2096</v>
      </c>
      <c r="H315" s="1">
        <v>3</v>
      </c>
      <c r="I315" s="1" t="s">
        <v>2098</v>
      </c>
      <c r="J315" s="1" t="s">
        <v>2100</v>
      </c>
      <c r="K315" s="1" t="s">
        <v>2101</v>
      </c>
      <c r="L315" s="1" t="s">
        <v>1502</v>
      </c>
      <c r="M315" s="1">
        <v>1</v>
      </c>
    </row>
    <row r="316" spans="1:13" x14ac:dyDescent="0.3">
      <c r="A316" s="1">
        <v>2025</v>
      </c>
      <c r="B316" s="1" t="s">
        <v>1503</v>
      </c>
      <c r="C316" s="1" t="s">
        <v>1524</v>
      </c>
      <c r="D316" s="1" t="s">
        <v>1823</v>
      </c>
      <c r="E316" s="1" t="s">
        <v>1825</v>
      </c>
      <c r="F316" s="1" t="s">
        <v>1821</v>
      </c>
      <c r="G316" s="1" t="s">
        <v>1822</v>
      </c>
      <c r="H316" s="1">
        <v>4</v>
      </c>
      <c r="I316" s="1" t="s">
        <v>1824</v>
      </c>
      <c r="J316" s="1" t="s">
        <v>1826</v>
      </c>
      <c r="K316" s="1" t="s">
        <v>1827</v>
      </c>
      <c r="L316" s="1" t="s">
        <v>1502</v>
      </c>
      <c r="M316" s="1">
        <v>1</v>
      </c>
    </row>
    <row r="317" spans="1:13" x14ac:dyDescent="0.3">
      <c r="A317" s="1">
        <v>2024</v>
      </c>
      <c r="B317" s="1" t="s">
        <v>714</v>
      </c>
      <c r="C317" s="1" t="s">
        <v>730</v>
      </c>
      <c r="D317" s="1" t="s">
        <v>1137</v>
      </c>
      <c r="E317" s="1" t="s">
        <v>1139</v>
      </c>
      <c r="F317" s="1" t="s">
        <v>1138</v>
      </c>
      <c r="G317" s="1" t="s">
        <v>733</v>
      </c>
      <c r="H317" s="1" t="s">
        <v>734</v>
      </c>
      <c r="I317" s="1">
        <v>44166</v>
      </c>
      <c r="J317" s="1">
        <v>45865.38480324074</v>
      </c>
      <c r="K317" s="1">
        <v>45865.38480324074</v>
      </c>
      <c r="L317" s="1" t="s">
        <v>736</v>
      </c>
      <c r="M317" s="1">
        <v>1</v>
      </c>
    </row>
    <row r="318" spans="1:13" x14ac:dyDescent="0.3">
      <c r="A318" s="1">
        <v>2025</v>
      </c>
      <c r="B318" s="1" t="s">
        <v>714</v>
      </c>
      <c r="C318" s="1" t="s">
        <v>730</v>
      </c>
      <c r="D318" s="1" t="s">
        <v>770</v>
      </c>
      <c r="E318" s="1" t="s">
        <v>1381</v>
      </c>
      <c r="F318" s="1" t="s">
        <v>1380</v>
      </c>
      <c r="G318" s="1" t="s">
        <v>733</v>
      </c>
      <c r="H318" s="1" t="s">
        <v>780</v>
      </c>
      <c r="I318" s="1">
        <v>43831</v>
      </c>
      <c r="J318" s="1">
        <v>45865.395324074074</v>
      </c>
      <c r="K318" s="1">
        <v>45865.395324074074</v>
      </c>
      <c r="L318" s="1" t="s">
        <v>782</v>
      </c>
      <c r="M318" s="1">
        <v>1</v>
      </c>
    </row>
    <row r="319" spans="1:13" x14ac:dyDescent="0.3">
      <c r="A319" s="1">
        <v>2025</v>
      </c>
      <c r="B319" s="1" t="s">
        <v>714</v>
      </c>
      <c r="C319" s="1" t="s">
        <v>730</v>
      </c>
      <c r="D319" s="1" t="s">
        <v>1426</v>
      </c>
      <c r="E319" s="1" t="s">
        <v>1428</v>
      </c>
      <c r="F319" s="1" t="s">
        <v>1427</v>
      </c>
      <c r="G319" s="1" t="s">
        <v>733</v>
      </c>
      <c r="H319" s="1" t="s">
        <v>834</v>
      </c>
      <c r="I319" s="1">
        <v>44470</v>
      </c>
      <c r="J319" s="1">
        <v>45865.394490740742</v>
      </c>
      <c r="K319" s="1">
        <v>45865.394490740742</v>
      </c>
      <c r="L319" s="1" t="s">
        <v>836</v>
      </c>
      <c r="M319" s="1">
        <v>1</v>
      </c>
    </row>
    <row r="320" spans="1:13" x14ac:dyDescent="0.3">
      <c r="A320" s="1">
        <v>2024</v>
      </c>
      <c r="B320" s="1" t="s">
        <v>714</v>
      </c>
      <c r="C320" s="1" t="s">
        <v>730</v>
      </c>
      <c r="D320" s="1" t="s">
        <v>1081</v>
      </c>
      <c r="E320" s="1" t="s">
        <v>1083</v>
      </c>
      <c r="F320" s="1" t="s">
        <v>1082</v>
      </c>
      <c r="G320" s="1" t="s">
        <v>733</v>
      </c>
      <c r="H320" s="1" t="s">
        <v>839</v>
      </c>
      <c r="I320" s="1">
        <v>44317</v>
      </c>
      <c r="J320" s="1">
        <v>45865.394490740742</v>
      </c>
      <c r="K320" s="1">
        <v>45865.394490740742</v>
      </c>
      <c r="L320" s="1" t="s">
        <v>841</v>
      </c>
      <c r="M320" s="1">
        <v>1</v>
      </c>
    </row>
    <row r="321" spans="1:13" x14ac:dyDescent="0.3">
      <c r="A321" s="1">
        <v>2021</v>
      </c>
      <c r="B321" s="1" t="s">
        <v>714</v>
      </c>
      <c r="C321" s="1" t="s">
        <v>730</v>
      </c>
      <c r="D321" s="1" t="s">
        <v>755</v>
      </c>
      <c r="E321" s="1" t="s">
        <v>845</v>
      </c>
      <c r="F321" s="1" t="s">
        <v>844</v>
      </c>
      <c r="G321" s="1" t="s">
        <v>733</v>
      </c>
      <c r="H321" s="1" t="s">
        <v>863</v>
      </c>
      <c r="I321" s="1">
        <v>44743</v>
      </c>
      <c r="J321" s="1">
        <v>45865.374305555553</v>
      </c>
      <c r="K321" s="1">
        <v>45865.374305555553</v>
      </c>
      <c r="L321" s="1" t="s">
        <v>865</v>
      </c>
      <c r="M321" s="1">
        <v>1</v>
      </c>
    </row>
    <row r="322" spans="1:13" x14ac:dyDescent="0.3">
      <c r="A322" s="1">
        <v>2024</v>
      </c>
      <c r="B322" s="1" t="s">
        <v>714</v>
      </c>
      <c r="C322" s="1" t="s">
        <v>730</v>
      </c>
      <c r="D322" s="1" t="s">
        <v>880</v>
      </c>
      <c r="E322" s="1" t="s">
        <v>1179</v>
      </c>
      <c r="F322" s="1" t="s">
        <v>1178</v>
      </c>
      <c r="G322" s="1" t="s">
        <v>733</v>
      </c>
      <c r="H322" s="1" t="s">
        <v>917</v>
      </c>
      <c r="I322" s="1">
        <v>44682</v>
      </c>
      <c r="J322" s="1">
        <v>45865.394502314812</v>
      </c>
      <c r="K322" s="1">
        <v>45865.394502314812</v>
      </c>
      <c r="L322" s="1" t="s">
        <v>919</v>
      </c>
      <c r="M322" s="1">
        <v>1</v>
      </c>
    </row>
    <row r="323" spans="1:13" x14ac:dyDescent="0.3">
      <c r="A323" s="1">
        <v>2021</v>
      </c>
      <c r="B323" s="1" t="s">
        <v>714</v>
      </c>
      <c r="C323" s="1" t="s">
        <v>730</v>
      </c>
      <c r="D323" s="1" t="s">
        <v>715</v>
      </c>
      <c r="E323" s="1" t="s">
        <v>823</v>
      </c>
      <c r="F323" s="1" t="s">
        <v>822</v>
      </c>
      <c r="G323" s="1" t="s">
        <v>733</v>
      </c>
      <c r="H323" s="1" t="s">
        <v>991</v>
      </c>
      <c r="I323" s="1">
        <v>45017</v>
      </c>
      <c r="J323" s="1">
        <v>45865.384814814817</v>
      </c>
      <c r="K323" s="1">
        <v>45865.384814814817</v>
      </c>
      <c r="L323" s="1" t="s">
        <v>993</v>
      </c>
      <c r="M323" s="1">
        <v>1</v>
      </c>
    </row>
    <row r="324" spans="1:13" x14ac:dyDescent="0.3">
      <c r="A324" s="1">
        <v>2022</v>
      </c>
      <c r="B324" s="1" t="s">
        <v>714</v>
      </c>
      <c r="C324" s="1" t="s">
        <v>730</v>
      </c>
      <c r="D324" s="1" t="s">
        <v>724</v>
      </c>
      <c r="E324" s="1" t="s">
        <v>899</v>
      </c>
      <c r="F324" s="1" t="s">
        <v>891</v>
      </c>
      <c r="G324" s="1" t="s">
        <v>733</v>
      </c>
      <c r="H324" s="1" t="s">
        <v>1362</v>
      </c>
      <c r="I324" s="1">
        <v>45717</v>
      </c>
      <c r="J324" s="1">
        <v>45865.374305555553</v>
      </c>
      <c r="K324" s="1">
        <v>45865.374305555553</v>
      </c>
      <c r="L324" s="1" t="s">
        <v>1364</v>
      </c>
      <c r="M324" s="1">
        <v>1</v>
      </c>
    </row>
    <row r="325" spans="1:13" x14ac:dyDescent="0.3">
      <c r="A325" s="1">
        <v>2024</v>
      </c>
      <c r="B325" s="1" t="s">
        <v>714</v>
      </c>
      <c r="C325" s="1" t="s">
        <v>730</v>
      </c>
      <c r="D325" s="1" t="s">
        <v>853</v>
      </c>
      <c r="E325" s="1" t="s">
        <v>1133</v>
      </c>
      <c r="F325" s="1" t="s">
        <v>163</v>
      </c>
      <c r="G325" s="1" t="s">
        <v>733</v>
      </c>
      <c r="H325" s="1" t="s">
        <v>1483</v>
      </c>
      <c r="I325" s="1">
        <v>45778</v>
      </c>
      <c r="J325" s="1">
        <v>45865.394490740742</v>
      </c>
      <c r="K325" s="1">
        <v>45865.394490740742</v>
      </c>
      <c r="L325" s="1" t="s">
        <v>1485</v>
      </c>
      <c r="M325" s="1">
        <v>1</v>
      </c>
    </row>
    <row r="326" spans="1:13" x14ac:dyDescent="0.3">
      <c r="A326" s="1">
        <v>2020</v>
      </c>
      <c r="B326" s="1" t="s">
        <v>1503</v>
      </c>
      <c r="C326" s="1" t="s">
        <v>730</v>
      </c>
      <c r="D326" s="1" t="s">
        <v>732</v>
      </c>
      <c r="E326" s="1" t="s">
        <v>2643</v>
      </c>
      <c r="F326" s="1" t="s">
        <v>2641</v>
      </c>
      <c r="G326" s="1" t="s">
        <v>2642</v>
      </c>
      <c r="H326" s="1">
        <v>78</v>
      </c>
      <c r="I326" s="1" t="s">
        <v>734</v>
      </c>
      <c r="J326" s="1" t="s">
        <v>2644</v>
      </c>
      <c r="K326" s="1" t="s">
        <v>2645</v>
      </c>
      <c r="L326" s="1" t="s">
        <v>1502</v>
      </c>
      <c r="M326" s="1">
        <v>1</v>
      </c>
    </row>
    <row r="327" spans="1:13" x14ac:dyDescent="0.3">
      <c r="A327" s="1">
        <v>2022</v>
      </c>
      <c r="B327" s="1" t="s">
        <v>1503</v>
      </c>
      <c r="C327" s="1" t="s">
        <v>730</v>
      </c>
      <c r="D327" s="1" t="s">
        <v>862</v>
      </c>
      <c r="E327" s="1" t="s">
        <v>2454</v>
      </c>
      <c r="F327" s="1" t="s">
        <v>2452</v>
      </c>
      <c r="G327" s="1" t="s">
        <v>2453</v>
      </c>
      <c r="H327" s="1">
        <v>17</v>
      </c>
      <c r="I327" s="1" t="s">
        <v>863</v>
      </c>
      <c r="J327" s="1" t="s">
        <v>2455</v>
      </c>
      <c r="K327" s="1" t="s">
        <v>2456</v>
      </c>
      <c r="L327" s="1" t="s">
        <v>1502</v>
      </c>
      <c r="M327" s="1">
        <v>1</v>
      </c>
    </row>
    <row r="328" spans="1:13" x14ac:dyDescent="0.3">
      <c r="A328" s="1">
        <v>2023</v>
      </c>
      <c r="B328" s="1" t="s">
        <v>1503</v>
      </c>
      <c r="C328" s="1" t="s">
        <v>730</v>
      </c>
      <c r="D328" s="1" t="s">
        <v>990</v>
      </c>
      <c r="E328" s="1" t="s">
        <v>2337</v>
      </c>
      <c r="F328" s="1" t="s">
        <v>2335</v>
      </c>
      <c r="G328" s="1" t="s">
        <v>2336</v>
      </c>
      <c r="H328" s="1">
        <v>6</v>
      </c>
      <c r="I328" s="1" t="s">
        <v>991</v>
      </c>
      <c r="J328" s="1" t="s">
        <v>2338</v>
      </c>
      <c r="K328" s="1" t="s">
        <v>2339</v>
      </c>
      <c r="L328" s="1" t="s">
        <v>1502</v>
      </c>
      <c r="M328" s="1">
        <v>1</v>
      </c>
    </row>
    <row r="329" spans="1:13" x14ac:dyDescent="0.3">
      <c r="A329" s="1">
        <v>2025</v>
      </c>
      <c r="B329" s="1" t="s">
        <v>1503</v>
      </c>
      <c r="C329" s="1" t="s">
        <v>730</v>
      </c>
      <c r="D329" s="1" t="s">
        <v>1361</v>
      </c>
      <c r="E329" s="1" t="s">
        <v>1676</v>
      </c>
      <c r="F329" s="1" t="s">
        <v>1674</v>
      </c>
      <c r="G329" s="1" t="s">
        <v>1675</v>
      </c>
      <c r="H329" s="1">
        <v>1</v>
      </c>
      <c r="I329" s="1" t="s">
        <v>1362</v>
      </c>
      <c r="J329" s="1" t="s">
        <v>1677</v>
      </c>
      <c r="K329" s="1" t="s">
        <v>1678</v>
      </c>
      <c r="L329" s="1" t="s">
        <v>1502</v>
      </c>
      <c r="M329" s="1">
        <v>1</v>
      </c>
    </row>
    <row r="330" spans="1:13" x14ac:dyDescent="0.3">
      <c r="A330" s="1">
        <v>2025</v>
      </c>
      <c r="B330" s="1" t="s">
        <v>714</v>
      </c>
      <c r="C330" s="1" t="s">
        <v>778</v>
      </c>
      <c r="D330" s="1" t="s">
        <v>1462</v>
      </c>
      <c r="E330" s="1" t="s">
        <v>1464</v>
      </c>
      <c r="F330" s="1" t="s">
        <v>1463</v>
      </c>
      <c r="G330" s="1" t="s">
        <v>779</v>
      </c>
      <c r="H330" s="1" t="s">
        <v>937</v>
      </c>
      <c r="I330" s="1">
        <v>45200</v>
      </c>
      <c r="J330" s="1">
        <v>45865.374305555553</v>
      </c>
      <c r="K330" s="1">
        <v>45865.374305555553</v>
      </c>
      <c r="L330" s="1" t="s">
        <v>939</v>
      </c>
      <c r="M330" s="1">
        <v>1</v>
      </c>
    </row>
    <row r="331" spans="1:13" x14ac:dyDescent="0.3">
      <c r="A331" s="1">
        <v>2024</v>
      </c>
      <c r="B331" s="1" t="s">
        <v>714</v>
      </c>
      <c r="C331" s="1" t="s">
        <v>778</v>
      </c>
      <c r="D331" s="1" t="s">
        <v>715</v>
      </c>
      <c r="E331" s="1" t="s">
        <v>1283</v>
      </c>
      <c r="F331" s="1" t="s">
        <v>1282</v>
      </c>
      <c r="G331" s="1" t="s">
        <v>779</v>
      </c>
      <c r="H331" s="1" t="s">
        <v>1185</v>
      </c>
      <c r="I331" s="1">
        <v>45413</v>
      </c>
      <c r="J331" s="1">
        <v>45865.374305555553</v>
      </c>
      <c r="K331" s="1">
        <v>45865.374305555553</v>
      </c>
      <c r="L331" s="1" t="s">
        <v>1187</v>
      </c>
      <c r="M331" s="1">
        <v>1</v>
      </c>
    </row>
    <row r="332" spans="1:13" x14ac:dyDescent="0.3">
      <c r="A332" s="1">
        <v>2023</v>
      </c>
      <c r="B332" s="1" t="s">
        <v>1503</v>
      </c>
      <c r="C332" s="1" t="s">
        <v>778</v>
      </c>
      <c r="D332" s="1" t="s">
        <v>936</v>
      </c>
      <c r="E332" s="1" t="s">
        <v>2314</v>
      </c>
      <c r="F332" s="1" t="s">
        <v>2312</v>
      </c>
      <c r="G332" s="1" t="s">
        <v>2313</v>
      </c>
      <c r="H332" s="1">
        <v>1</v>
      </c>
      <c r="I332" s="1" t="s">
        <v>937</v>
      </c>
      <c r="J332" s="1" t="s">
        <v>2315</v>
      </c>
      <c r="K332" s="1" t="s">
        <v>2316</v>
      </c>
      <c r="L332" s="1" t="s">
        <v>1502</v>
      </c>
      <c r="M332" s="1">
        <v>1</v>
      </c>
    </row>
    <row r="333" spans="1:13" x14ac:dyDescent="0.3">
      <c r="A333" s="1">
        <v>2025</v>
      </c>
      <c r="B333" s="1" t="s">
        <v>638</v>
      </c>
      <c r="C333" s="1" t="s">
        <v>639</v>
      </c>
      <c r="D333" s="1" t="s">
        <v>640</v>
      </c>
      <c r="E333" s="1" t="s">
        <v>642</v>
      </c>
      <c r="F333" s="1">
        <v>45728</v>
      </c>
      <c r="G333" s="1" t="s">
        <v>643</v>
      </c>
      <c r="H333" s="1"/>
      <c r="I333" s="1" t="s">
        <v>644</v>
      </c>
      <c r="J333" s="1" t="s">
        <v>645</v>
      </c>
      <c r="K333" s="1">
        <v>57</v>
      </c>
      <c r="L333" s="1"/>
      <c r="M333" s="1">
        <v>1</v>
      </c>
    </row>
    <row r="334" spans="1:13" x14ac:dyDescent="0.3">
      <c r="A334" s="1">
        <v>2020</v>
      </c>
      <c r="B334" s="1" t="s">
        <v>714</v>
      </c>
      <c r="C334" s="1" t="s">
        <v>848</v>
      </c>
      <c r="D334" s="1" t="s">
        <v>755</v>
      </c>
      <c r="E334" s="1" t="s">
        <v>757</v>
      </c>
      <c r="F334" s="1" t="s">
        <v>756</v>
      </c>
      <c r="G334" s="1" t="s">
        <v>849</v>
      </c>
      <c r="H334" s="1" t="s">
        <v>850</v>
      </c>
      <c r="I334" s="1">
        <v>44270</v>
      </c>
      <c r="J334" s="1">
        <v>45865.395324074074</v>
      </c>
      <c r="K334" s="1">
        <v>45865.395324074074</v>
      </c>
      <c r="L334" s="1" t="s">
        <v>852</v>
      </c>
      <c r="M334" s="1">
        <v>1</v>
      </c>
    </row>
    <row r="335" spans="1:13" x14ac:dyDescent="0.3">
      <c r="A335" s="1">
        <v>2025</v>
      </c>
      <c r="B335" s="1" t="s">
        <v>714</v>
      </c>
      <c r="C335" s="1" t="s">
        <v>848</v>
      </c>
      <c r="D335" s="1" t="s">
        <v>715</v>
      </c>
      <c r="E335" s="1" t="s">
        <v>1338</v>
      </c>
      <c r="F335" s="1" t="s">
        <v>1337</v>
      </c>
      <c r="G335" s="1" t="s">
        <v>849</v>
      </c>
      <c r="H335" s="1" t="s">
        <v>1243</v>
      </c>
      <c r="I335" s="1">
        <v>45621</v>
      </c>
      <c r="J335" s="1">
        <v>45865.374305555553</v>
      </c>
      <c r="K335" s="1">
        <v>45865.374305555553</v>
      </c>
      <c r="L335" s="1" t="s">
        <v>1245</v>
      </c>
      <c r="M335" s="1">
        <v>1</v>
      </c>
    </row>
    <row r="336" spans="1:13" x14ac:dyDescent="0.3">
      <c r="A336" s="1">
        <v>2022</v>
      </c>
      <c r="B336" s="1" t="s">
        <v>1503</v>
      </c>
      <c r="C336" s="1" t="s">
        <v>1583</v>
      </c>
      <c r="D336" s="1" t="s">
        <v>2550</v>
      </c>
      <c r="E336" s="1" t="s">
        <v>2552</v>
      </c>
      <c r="F336" s="1" t="s">
        <v>2548</v>
      </c>
      <c r="G336" s="1" t="s">
        <v>2549</v>
      </c>
      <c r="H336" s="1">
        <v>10</v>
      </c>
      <c r="I336" s="1" t="s">
        <v>2551</v>
      </c>
      <c r="J336" s="1" t="s">
        <v>2553</v>
      </c>
      <c r="K336" s="1" t="s">
        <v>2554</v>
      </c>
      <c r="L336" s="1" t="s">
        <v>1502</v>
      </c>
      <c r="M336" s="1">
        <v>1</v>
      </c>
    </row>
    <row r="337" spans="1:13" x14ac:dyDescent="0.3">
      <c r="A337" s="1">
        <v>2024</v>
      </c>
      <c r="B337" s="1" t="s">
        <v>1503</v>
      </c>
      <c r="C337" s="1" t="s">
        <v>1995</v>
      </c>
      <c r="D337" s="1" t="s">
        <v>1994</v>
      </c>
      <c r="E337" s="1" t="s">
        <v>1997</v>
      </c>
      <c r="F337" s="1" t="s">
        <v>1992</v>
      </c>
      <c r="G337" s="1" t="s">
        <v>1993</v>
      </c>
      <c r="H337" s="1">
        <v>34</v>
      </c>
      <c r="I337" s="1" t="s">
        <v>1996</v>
      </c>
      <c r="J337" s="1" t="s">
        <v>1998</v>
      </c>
      <c r="K337" s="1" t="s">
        <v>1999</v>
      </c>
      <c r="L337" s="1" t="s">
        <v>1502</v>
      </c>
      <c r="M337" s="1">
        <v>1</v>
      </c>
    </row>
    <row r="338" spans="1:13" x14ac:dyDescent="0.3">
      <c r="A338" s="1">
        <v>2022</v>
      </c>
      <c r="B338" s="1" t="s">
        <v>714</v>
      </c>
      <c r="C338" s="1" t="s">
        <v>994</v>
      </c>
      <c r="D338" s="1" t="s">
        <v>730</v>
      </c>
      <c r="E338" s="1" t="s">
        <v>883</v>
      </c>
      <c r="F338" s="1" t="s">
        <v>882</v>
      </c>
      <c r="G338" s="1" t="s">
        <v>995</v>
      </c>
      <c r="H338" s="1" t="s">
        <v>1434</v>
      </c>
      <c r="I338" s="1">
        <v>45717</v>
      </c>
      <c r="J338" s="1">
        <v>45865.374305555553</v>
      </c>
      <c r="K338" s="1">
        <v>45865.374305555553</v>
      </c>
      <c r="L338" s="1" t="s">
        <v>1436</v>
      </c>
      <c r="M338" s="1">
        <v>1</v>
      </c>
    </row>
    <row r="339" spans="1:13" x14ac:dyDescent="0.3">
      <c r="A339" s="1">
        <v>2025</v>
      </c>
      <c r="B339" s="1" t="s">
        <v>1503</v>
      </c>
      <c r="C339" s="1" t="s">
        <v>994</v>
      </c>
      <c r="D339" s="1" t="s">
        <v>1433</v>
      </c>
      <c r="E339" s="1" t="s">
        <v>1659</v>
      </c>
      <c r="F339" s="1" t="s">
        <v>1657</v>
      </c>
      <c r="G339" s="1" t="s">
        <v>1658</v>
      </c>
      <c r="H339" s="1">
        <v>1</v>
      </c>
      <c r="I339" s="1" t="s">
        <v>1434</v>
      </c>
      <c r="J339" s="1" t="s">
        <v>1660</v>
      </c>
      <c r="K339" s="1" t="s">
        <v>1661</v>
      </c>
      <c r="L339" s="1" t="s">
        <v>1502</v>
      </c>
      <c r="M339" s="1">
        <v>1</v>
      </c>
    </row>
    <row r="340" spans="1:13" x14ac:dyDescent="0.3">
      <c r="A340" s="1">
        <v>2020</v>
      </c>
      <c r="B340" s="1" t="s">
        <v>714</v>
      </c>
      <c r="C340" s="1" t="s">
        <v>853</v>
      </c>
      <c r="D340" s="1" t="s">
        <v>715</v>
      </c>
      <c r="E340" s="1" t="s">
        <v>747</v>
      </c>
      <c r="F340" s="1" t="s">
        <v>746</v>
      </c>
      <c r="G340" s="1" t="s">
        <v>854</v>
      </c>
      <c r="H340" s="1" t="s">
        <v>979</v>
      </c>
      <c r="I340" s="1">
        <v>45078</v>
      </c>
      <c r="J340" s="1">
        <v>45865.38480324074</v>
      </c>
      <c r="K340" s="1">
        <v>45865.38480324074</v>
      </c>
      <c r="L340" s="1" t="s">
        <v>981</v>
      </c>
      <c r="M340" s="1">
        <v>1</v>
      </c>
    </row>
    <row r="341" spans="1:13" x14ac:dyDescent="0.3">
      <c r="A341" s="1">
        <v>2024</v>
      </c>
      <c r="B341" s="1" t="s">
        <v>714</v>
      </c>
      <c r="C341" s="1" t="s">
        <v>853</v>
      </c>
      <c r="D341" s="1" t="s">
        <v>715</v>
      </c>
      <c r="E341" s="1" t="s">
        <v>1214</v>
      </c>
      <c r="F341" s="1" t="s">
        <v>1213</v>
      </c>
      <c r="G341" s="1" t="s">
        <v>854</v>
      </c>
      <c r="H341" s="1" t="s">
        <v>1134</v>
      </c>
      <c r="I341" s="1">
        <v>45413</v>
      </c>
      <c r="J341" s="1">
        <v>45865.374305555553</v>
      </c>
      <c r="K341" s="1">
        <v>45865.374305555553</v>
      </c>
      <c r="L341" s="1" t="s">
        <v>1136</v>
      </c>
      <c r="M341" s="1">
        <v>1</v>
      </c>
    </row>
    <row r="342" spans="1:13" x14ac:dyDescent="0.3">
      <c r="A342" s="1">
        <v>2023</v>
      </c>
      <c r="B342" s="1" t="s">
        <v>1503</v>
      </c>
      <c r="C342" s="1" t="s">
        <v>853</v>
      </c>
      <c r="D342" s="1" t="s">
        <v>978</v>
      </c>
      <c r="E342" s="1" t="s">
        <v>2321</v>
      </c>
      <c r="F342" s="1" t="s">
        <v>2319</v>
      </c>
      <c r="G342" s="1" t="s">
        <v>2320</v>
      </c>
      <c r="H342" s="1">
        <v>8</v>
      </c>
      <c r="I342" s="1" t="s">
        <v>979</v>
      </c>
      <c r="J342" s="1" t="s">
        <v>2322</v>
      </c>
      <c r="K342" s="1" t="s">
        <v>2323</v>
      </c>
      <c r="L342" s="1" t="s">
        <v>1502</v>
      </c>
      <c r="M342" s="1">
        <v>1</v>
      </c>
    </row>
    <row r="343" spans="1:13" x14ac:dyDescent="0.3">
      <c r="A343" s="1">
        <v>2024</v>
      </c>
      <c r="B343" s="1" t="s">
        <v>1503</v>
      </c>
      <c r="C343" s="1" t="s">
        <v>853</v>
      </c>
      <c r="D343" s="1" t="s">
        <v>1133</v>
      </c>
      <c r="E343" s="1" t="s">
        <v>2237</v>
      </c>
      <c r="F343" s="1" t="s">
        <v>2235</v>
      </c>
      <c r="G343" s="1" t="s">
        <v>2236</v>
      </c>
      <c r="H343" s="1">
        <v>8</v>
      </c>
      <c r="I343" s="1" t="s">
        <v>1134</v>
      </c>
      <c r="J343" s="1" t="s">
        <v>2238</v>
      </c>
      <c r="K343" s="1" t="s">
        <v>2239</v>
      </c>
      <c r="L343" s="1" t="s">
        <v>1502</v>
      </c>
      <c r="M343" s="1">
        <v>1</v>
      </c>
    </row>
    <row r="344" spans="1:13" x14ac:dyDescent="0.3">
      <c r="A344" s="1">
        <v>2020</v>
      </c>
      <c r="B344" s="1" t="s">
        <v>14</v>
      </c>
      <c r="C344" s="1" t="s">
        <v>17</v>
      </c>
      <c r="D344" s="1" t="s">
        <v>18</v>
      </c>
      <c r="E344" s="1" t="s">
        <v>19</v>
      </c>
      <c r="F344" s="1" t="s">
        <v>20</v>
      </c>
      <c r="G344" s="1" t="s">
        <v>21</v>
      </c>
      <c r="H344" s="1" t="s">
        <v>22</v>
      </c>
      <c r="I344" s="1" t="s">
        <v>24</v>
      </c>
      <c r="J344" s="1">
        <v>45859.766099537039</v>
      </c>
      <c r="K344" s="1">
        <v>45859.766099537039</v>
      </c>
      <c r="L344" s="1" t="s">
        <v>25</v>
      </c>
      <c r="M344" s="1">
        <v>1</v>
      </c>
    </row>
    <row r="345" spans="1:13" x14ac:dyDescent="0.3">
      <c r="A345" s="1">
        <v>2021</v>
      </c>
      <c r="B345" s="1" t="s">
        <v>714</v>
      </c>
      <c r="C345" s="1" t="s">
        <v>793</v>
      </c>
      <c r="D345" s="1" t="s">
        <v>755</v>
      </c>
      <c r="E345" s="1" t="s">
        <v>843</v>
      </c>
      <c r="F345" s="1" t="s">
        <v>842</v>
      </c>
      <c r="G345" s="1" t="s">
        <v>792</v>
      </c>
      <c r="H345" s="1" t="s">
        <v>858</v>
      </c>
      <c r="I345" s="1">
        <v>44562</v>
      </c>
      <c r="J345" s="1">
        <v>45865.374305555553</v>
      </c>
      <c r="K345" s="1">
        <v>45865.374305555553</v>
      </c>
      <c r="L345" s="1" t="s">
        <v>860</v>
      </c>
      <c r="M345" s="1">
        <v>1</v>
      </c>
    </row>
    <row r="346" spans="1:13" x14ac:dyDescent="0.3">
      <c r="A346" s="1">
        <v>2025</v>
      </c>
      <c r="B346" s="1" t="s">
        <v>714</v>
      </c>
      <c r="C346" s="1" t="s">
        <v>793</v>
      </c>
      <c r="D346" s="1" t="s">
        <v>880</v>
      </c>
      <c r="E346" s="1" t="s">
        <v>1389</v>
      </c>
      <c r="F346" s="1" t="s">
        <v>1388</v>
      </c>
      <c r="G346" s="1" t="s">
        <v>792</v>
      </c>
      <c r="H346" s="1" t="s">
        <v>925</v>
      </c>
      <c r="I346" s="1">
        <v>44562</v>
      </c>
      <c r="J346" s="1">
        <v>45865.395324074074</v>
      </c>
      <c r="K346" s="1">
        <v>45865.395324074074</v>
      </c>
      <c r="L346" s="1" t="s">
        <v>927</v>
      </c>
      <c r="M346" s="1">
        <v>1</v>
      </c>
    </row>
    <row r="347" spans="1:13" x14ac:dyDescent="0.3">
      <c r="A347" s="1">
        <v>2020</v>
      </c>
      <c r="B347" s="1" t="s">
        <v>714</v>
      </c>
      <c r="C347" s="1" t="s">
        <v>793</v>
      </c>
      <c r="D347" s="1" t="s">
        <v>783</v>
      </c>
      <c r="E347" s="1" t="s">
        <v>785</v>
      </c>
      <c r="F347" s="1" t="s">
        <v>784</v>
      </c>
      <c r="G347" s="1" t="s">
        <v>792</v>
      </c>
      <c r="H347" s="1" t="s">
        <v>945</v>
      </c>
      <c r="I347" s="1">
        <v>44927</v>
      </c>
      <c r="J347" s="1">
        <v>45865.374305555553</v>
      </c>
      <c r="K347" s="1">
        <v>45865.374305555553</v>
      </c>
      <c r="L347" s="1" t="s">
        <v>947</v>
      </c>
      <c r="M347" s="1">
        <v>1</v>
      </c>
    </row>
    <row r="348" spans="1:13" x14ac:dyDescent="0.3">
      <c r="A348" s="1">
        <v>2025</v>
      </c>
      <c r="B348" s="1" t="s">
        <v>714</v>
      </c>
      <c r="C348" s="1" t="s">
        <v>793</v>
      </c>
      <c r="D348" s="1" t="s">
        <v>1471</v>
      </c>
      <c r="E348" s="1" t="s">
        <v>1473</v>
      </c>
      <c r="F348" s="1" t="s">
        <v>1472</v>
      </c>
      <c r="G348" s="1" t="s">
        <v>792</v>
      </c>
      <c r="H348" s="1" t="s">
        <v>951</v>
      </c>
      <c r="I348" s="1">
        <v>44927</v>
      </c>
      <c r="J348" s="1">
        <v>45865.374305555553</v>
      </c>
      <c r="K348" s="1">
        <v>45865.374305555553</v>
      </c>
      <c r="L348" s="1" t="s">
        <v>953</v>
      </c>
      <c r="M348" s="1">
        <v>1</v>
      </c>
    </row>
    <row r="349" spans="1:13" x14ac:dyDescent="0.3">
      <c r="A349" s="1">
        <v>2024</v>
      </c>
      <c r="B349" s="1" t="s">
        <v>714</v>
      </c>
      <c r="C349" s="1" t="s">
        <v>793</v>
      </c>
      <c r="D349" s="1" t="s">
        <v>715</v>
      </c>
      <c r="E349" s="1" t="s">
        <v>1219</v>
      </c>
      <c r="F349" s="1" t="s">
        <v>1218</v>
      </c>
      <c r="G349" s="1" t="s">
        <v>792</v>
      </c>
      <c r="H349" s="1" t="s">
        <v>1140</v>
      </c>
      <c r="I349" s="1">
        <v>45292</v>
      </c>
      <c r="J349" s="1">
        <v>45865.374305555553</v>
      </c>
      <c r="K349" s="1">
        <v>45865.374305555553</v>
      </c>
      <c r="L349" s="1" t="s">
        <v>1142</v>
      </c>
      <c r="M349" s="1">
        <v>1</v>
      </c>
    </row>
    <row r="350" spans="1:13" x14ac:dyDescent="0.3">
      <c r="A350" s="1">
        <v>2020</v>
      </c>
      <c r="B350" s="1" t="s">
        <v>714</v>
      </c>
      <c r="C350" s="1" t="s">
        <v>793</v>
      </c>
      <c r="D350" s="1" t="s">
        <v>724</v>
      </c>
      <c r="E350" s="1" t="s">
        <v>729</v>
      </c>
      <c r="F350" s="1" t="s">
        <v>728</v>
      </c>
      <c r="G350" s="1" t="s">
        <v>792</v>
      </c>
      <c r="H350" s="1" t="s">
        <v>1350</v>
      </c>
      <c r="I350" s="1">
        <v>45658</v>
      </c>
      <c r="J350" s="1">
        <v>45865.374305555553</v>
      </c>
      <c r="K350" s="1">
        <v>45865.374305555553</v>
      </c>
      <c r="L350" s="1" t="s">
        <v>1352</v>
      </c>
      <c r="M350" s="1">
        <v>1</v>
      </c>
    </row>
    <row r="351" spans="1:13" x14ac:dyDescent="0.3">
      <c r="A351" s="1">
        <v>2022</v>
      </c>
      <c r="B351" s="1" t="s">
        <v>714</v>
      </c>
      <c r="C351" s="1" t="s">
        <v>793</v>
      </c>
      <c r="D351" s="1" t="s">
        <v>730</v>
      </c>
      <c r="E351" s="1" t="s">
        <v>862</v>
      </c>
      <c r="F351" s="1" t="s">
        <v>861</v>
      </c>
      <c r="G351" s="1" t="s">
        <v>792</v>
      </c>
      <c r="H351" s="1" t="s">
        <v>1429</v>
      </c>
      <c r="I351" s="1">
        <v>45658</v>
      </c>
      <c r="J351" s="1">
        <v>45865.374305555553</v>
      </c>
      <c r="K351" s="1">
        <v>45865.374305555553</v>
      </c>
      <c r="L351" s="1" t="s">
        <v>1431</v>
      </c>
      <c r="M351" s="1">
        <v>1</v>
      </c>
    </row>
    <row r="352" spans="1:13" x14ac:dyDescent="0.3">
      <c r="A352" s="1">
        <v>2022</v>
      </c>
      <c r="B352" s="1" t="s">
        <v>1503</v>
      </c>
      <c r="C352" s="1" t="s">
        <v>1578</v>
      </c>
      <c r="D352" s="1" t="s">
        <v>72</v>
      </c>
      <c r="E352" s="1" t="s">
        <v>2461</v>
      </c>
      <c r="F352" s="1" t="s">
        <v>2459</v>
      </c>
      <c r="G352" s="1" t="s">
        <v>2460</v>
      </c>
      <c r="H352" s="1">
        <v>10</v>
      </c>
      <c r="I352" s="1" t="s">
        <v>73</v>
      </c>
      <c r="J352" s="1" t="s">
        <v>77</v>
      </c>
      <c r="K352" s="1" t="s">
        <v>2462</v>
      </c>
      <c r="L352" s="1" t="s">
        <v>1502</v>
      </c>
      <c r="M352" s="1">
        <v>1</v>
      </c>
    </row>
    <row r="353" spans="1:13" x14ac:dyDescent="0.3">
      <c r="A353" s="1">
        <v>2022</v>
      </c>
      <c r="B353" s="1" t="s">
        <v>1503</v>
      </c>
      <c r="C353" s="1" t="s">
        <v>1578</v>
      </c>
      <c r="D353" s="1" t="s">
        <v>87</v>
      </c>
      <c r="E353" s="1" t="s">
        <v>2517</v>
      </c>
      <c r="F353" s="1" t="s">
        <v>2515</v>
      </c>
      <c r="G353" s="1" t="s">
        <v>2516</v>
      </c>
      <c r="H353" s="1">
        <v>42</v>
      </c>
      <c r="I353" s="1" t="s">
        <v>88</v>
      </c>
      <c r="J353" s="1" t="s">
        <v>2518</v>
      </c>
      <c r="K353" s="1" t="s">
        <v>2519</v>
      </c>
      <c r="L353" s="1" t="s">
        <v>1502</v>
      </c>
      <c r="M353" s="1">
        <v>1</v>
      </c>
    </row>
    <row r="354" spans="1:13" x14ac:dyDescent="0.3">
      <c r="A354" s="1">
        <v>2024</v>
      </c>
      <c r="B354" s="1" t="s">
        <v>1503</v>
      </c>
      <c r="C354" s="1" t="s">
        <v>1578</v>
      </c>
      <c r="D354" s="1" t="s">
        <v>2248</v>
      </c>
      <c r="E354" s="1" t="s">
        <v>2249</v>
      </c>
      <c r="F354" s="1" t="s">
        <v>2246</v>
      </c>
      <c r="G354" s="1" t="s">
        <v>2247</v>
      </c>
      <c r="H354" s="1">
        <v>7</v>
      </c>
      <c r="I354" s="1" t="s">
        <v>200</v>
      </c>
      <c r="J354" s="1" t="s">
        <v>2250</v>
      </c>
      <c r="K354" s="1" t="s">
        <v>2251</v>
      </c>
      <c r="L354" s="1" t="s">
        <v>1502</v>
      </c>
      <c r="M354" s="1">
        <v>1</v>
      </c>
    </row>
    <row r="355" spans="1:13" x14ac:dyDescent="0.3">
      <c r="A355" s="1">
        <v>2025</v>
      </c>
      <c r="B355" s="1" t="s">
        <v>1503</v>
      </c>
      <c r="C355" s="1" t="s">
        <v>1578</v>
      </c>
      <c r="D355" s="1" t="s">
        <v>288</v>
      </c>
      <c r="E355" s="1" t="s">
        <v>1579</v>
      </c>
      <c r="F355" s="1" t="s">
        <v>1576</v>
      </c>
      <c r="G355" s="1" t="s">
        <v>1577</v>
      </c>
      <c r="H355" s="1">
        <v>0</v>
      </c>
      <c r="I355" s="1" t="s">
        <v>289</v>
      </c>
      <c r="J355" s="1" t="s">
        <v>1580</v>
      </c>
      <c r="K355" s="1" t="s">
        <v>1581</v>
      </c>
      <c r="L355" s="1" t="s">
        <v>1502</v>
      </c>
      <c r="M355" s="1">
        <v>1</v>
      </c>
    </row>
    <row r="356" spans="1:13" x14ac:dyDescent="0.3">
      <c r="A356" s="1">
        <v>2025</v>
      </c>
      <c r="B356" s="1" t="s">
        <v>1503</v>
      </c>
      <c r="C356" s="1" t="s">
        <v>1578</v>
      </c>
      <c r="D356" s="1" t="s">
        <v>298</v>
      </c>
      <c r="E356" s="1" t="s">
        <v>1798</v>
      </c>
      <c r="F356" s="1" t="s">
        <v>1796</v>
      </c>
      <c r="G356" s="1" t="s">
        <v>1797</v>
      </c>
      <c r="H356" s="1">
        <v>0</v>
      </c>
      <c r="I356" s="1" t="s">
        <v>299</v>
      </c>
      <c r="J356" s="1" t="s">
        <v>1799</v>
      </c>
      <c r="K356" s="1" t="s">
        <v>1800</v>
      </c>
      <c r="L356" s="1" t="s">
        <v>1502</v>
      </c>
      <c r="M356" s="1">
        <v>1</v>
      </c>
    </row>
    <row r="357" spans="1:13" x14ac:dyDescent="0.3">
      <c r="A357" s="1">
        <v>2022</v>
      </c>
      <c r="B357" s="1" t="s">
        <v>2753</v>
      </c>
      <c r="C357" s="1" t="s">
        <v>2802</v>
      </c>
      <c r="D357" s="1" t="s">
        <v>2803</v>
      </c>
      <c r="E357" s="1" t="s">
        <v>86</v>
      </c>
      <c r="F357" s="1" t="s">
        <v>2804</v>
      </c>
      <c r="G357" s="1" t="s">
        <v>417</v>
      </c>
      <c r="H357" s="1" t="s">
        <v>418</v>
      </c>
      <c r="I357" s="1" t="s">
        <v>2952</v>
      </c>
      <c r="J357" s="1" t="s">
        <v>419</v>
      </c>
      <c r="K357" s="1" t="str">
        <f>HYPERLINK("https%3A%2F%2Fwww.webofscience.com%2Fwos%2Fwoscc%2Ffull-record%2FWOS:001464942200023","View Full Record in Web of Science")</f>
        <v>View Full Record in Web of Science</v>
      </c>
      <c r="L357" s="1"/>
      <c r="M357" s="1">
        <v>1</v>
      </c>
    </row>
    <row r="358" spans="1:13" x14ac:dyDescent="0.3">
      <c r="A358" s="1">
        <v>2025</v>
      </c>
      <c r="B358" s="1" t="s">
        <v>1503</v>
      </c>
      <c r="C358" s="1" t="s">
        <v>1585</v>
      </c>
      <c r="D358" s="1" t="s">
        <v>316</v>
      </c>
      <c r="E358" s="1" t="s">
        <v>1643</v>
      </c>
      <c r="F358" s="1" t="s">
        <v>1641</v>
      </c>
      <c r="G358" s="1" t="s">
        <v>1642</v>
      </c>
      <c r="H358" s="1">
        <v>0</v>
      </c>
      <c r="I358" s="1" t="s">
        <v>317</v>
      </c>
      <c r="J358" s="1" t="s">
        <v>1644</v>
      </c>
      <c r="K358" s="1" t="s">
        <v>1645</v>
      </c>
      <c r="L358" s="1" t="s">
        <v>1502</v>
      </c>
      <c r="M358" s="1">
        <v>1</v>
      </c>
    </row>
    <row r="359" spans="1:13" x14ac:dyDescent="0.3">
      <c r="A359" s="1">
        <v>2020</v>
      </c>
      <c r="B359" s="1" t="s">
        <v>1503</v>
      </c>
      <c r="C359" s="1" t="s">
        <v>2513</v>
      </c>
      <c r="D359" s="1" t="s">
        <v>2744</v>
      </c>
      <c r="E359" s="1" t="s">
        <v>2745</v>
      </c>
      <c r="F359" s="1" t="s">
        <v>2742</v>
      </c>
      <c r="G359" s="1" t="s">
        <v>2743</v>
      </c>
      <c r="H359" s="1">
        <v>17</v>
      </c>
      <c r="I359" s="1" t="s">
        <v>21</v>
      </c>
      <c r="J359" s="1"/>
      <c r="K359" s="1" t="s">
        <v>2746</v>
      </c>
      <c r="L359" s="1" t="s">
        <v>1502</v>
      </c>
      <c r="M359" s="1">
        <v>1</v>
      </c>
    </row>
    <row r="360" spans="1:13" x14ac:dyDescent="0.3">
      <c r="A360" s="1">
        <v>2025</v>
      </c>
      <c r="B360" s="1" t="s">
        <v>714</v>
      </c>
      <c r="C360" s="1" t="s">
        <v>1465</v>
      </c>
      <c r="D360" s="1" t="s">
        <v>848</v>
      </c>
      <c r="E360" s="1" t="s">
        <v>1449</v>
      </c>
      <c r="F360" s="1" t="s">
        <v>1448</v>
      </c>
      <c r="G360" s="1" t="s">
        <v>1467</v>
      </c>
      <c r="H360" s="1" t="s">
        <v>1468</v>
      </c>
      <c r="I360" s="1">
        <v>45689</v>
      </c>
      <c r="J360" s="1">
        <v>45865.384814814817</v>
      </c>
      <c r="K360" s="1">
        <v>45865.384814814817</v>
      </c>
      <c r="L360" s="1" t="s">
        <v>1470</v>
      </c>
      <c r="M360" s="1">
        <v>1</v>
      </c>
    </row>
    <row r="361" spans="1:13" x14ac:dyDescent="0.3">
      <c r="A361" s="1">
        <v>2025</v>
      </c>
      <c r="B361" s="1" t="s">
        <v>1503</v>
      </c>
      <c r="C361" s="1" t="s">
        <v>1465</v>
      </c>
      <c r="D361" s="1" t="s">
        <v>1466</v>
      </c>
      <c r="E361" s="1" t="s">
        <v>1775</v>
      </c>
      <c r="F361" s="1" t="s">
        <v>1773</v>
      </c>
      <c r="G361" s="1" t="s">
        <v>1774</v>
      </c>
      <c r="H361" s="1">
        <v>1</v>
      </c>
      <c r="I361" s="1" t="s">
        <v>1468</v>
      </c>
      <c r="J361" s="1" t="s">
        <v>1776</v>
      </c>
      <c r="K361" s="1" t="s">
        <v>1777</v>
      </c>
      <c r="L361" s="1" t="s">
        <v>1502</v>
      </c>
      <c r="M361" s="1">
        <v>1</v>
      </c>
    </row>
    <row r="362" spans="1:13" x14ac:dyDescent="0.3">
      <c r="A362" s="1">
        <v>2025</v>
      </c>
      <c r="B362" s="1" t="s">
        <v>2753</v>
      </c>
      <c r="C362" s="1" t="s">
        <v>2953</v>
      </c>
      <c r="D362" s="1" t="s">
        <v>2954</v>
      </c>
      <c r="E362" s="1" t="s">
        <v>2955</v>
      </c>
      <c r="F362" s="1" t="s">
        <v>2956</v>
      </c>
      <c r="G362" s="1" t="s">
        <v>2957</v>
      </c>
      <c r="H362" s="1" t="s">
        <v>2958</v>
      </c>
      <c r="I362" s="1" t="s">
        <v>2959</v>
      </c>
      <c r="J362" s="1" t="s">
        <v>2960</v>
      </c>
      <c r="K362" s="1" t="str">
        <f>HYPERLINK("https%3A%2F%2Fwww.webofscience.com%2Fwos%2Fwoscc%2Ffull-record%2FWOS:001498767900028","View Full Record in Web of Science")</f>
        <v>View Full Record in Web of Science</v>
      </c>
      <c r="L362" s="1"/>
      <c r="M362" s="1">
        <v>1</v>
      </c>
    </row>
    <row r="363" spans="1:13" x14ac:dyDescent="0.3">
      <c r="A363" s="1">
        <v>2021</v>
      </c>
      <c r="B363" s="1" t="s">
        <v>1503</v>
      </c>
      <c r="C363" s="1" t="s">
        <v>1621</v>
      </c>
      <c r="D363" s="1" t="s">
        <v>2575</v>
      </c>
      <c r="E363" s="1" t="s">
        <v>2577</v>
      </c>
      <c r="F363" s="1" t="s">
        <v>2573</v>
      </c>
      <c r="G363" s="1" t="s">
        <v>2574</v>
      </c>
      <c r="H363" s="1">
        <v>30</v>
      </c>
      <c r="I363" s="1" t="s">
        <v>2576</v>
      </c>
      <c r="J363" s="1" t="s">
        <v>2578</v>
      </c>
      <c r="K363" s="1" t="s">
        <v>2579</v>
      </c>
      <c r="L363" s="1" t="s">
        <v>1502</v>
      </c>
      <c r="M363" s="1">
        <v>1</v>
      </c>
    </row>
    <row r="364" spans="1:13" x14ac:dyDescent="0.3">
      <c r="A364" s="1">
        <v>2022</v>
      </c>
      <c r="B364" s="1" t="s">
        <v>1503</v>
      </c>
      <c r="C364" s="1" t="s">
        <v>1621</v>
      </c>
      <c r="D364" s="1" t="s">
        <v>2436</v>
      </c>
      <c r="E364" s="1" t="s">
        <v>2438</v>
      </c>
      <c r="F364" s="1" t="s">
        <v>2434</v>
      </c>
      <c r="G364" s="1" t="s">
        <v>2435</v>
      </c>
      <c r="H364" s="1">
        <v>2</v>
      </c>
      <c r="I364" s="1" t="s">
        <v>2437</v>
      </c>
      <c r="J364" s="1" t="s">
        <v>2439</v>
      </c>
      <c r="K364" s="1" t="s">
        <v>2440</v>
      </c>
      <c r="L364" s="1" t="s">
        <v>1502</v>
      </c>
      <c r="M364" s="1">
        <v>1</v>
      </c>
    </row>
    <row r="365" spans="1:13" x14ac:dyDescent="0.3">
      <c r="A365" s="1">
        <v>2023</v>
      </c>
      <c r="B365" s="1" t="s">
        <v>1503</v>
      </c>
      <c r="C365" s="1" t="s">
        <v>1621</v>
      </c>
      <c r="D365" s="1" t="s">
        <v>2263</v>
      </c>
      <c r="E365" s="1" t="s">
        <v>2265</v>
      </c>
      <c r="F365" s="1" t="s">
        <v>2261</v>
      </c>
      <c r="G365" s="1" t="s">
        <v>2262</v>
      </c>
      <c r="H365" s="1">
        <v>2</v>
      </c>
      <c r="I365" s="1" t="s">
        <v>2264</v>
      </c>
      <c r="J365" s="1" t="s">
        <v>2266</v>
      </c>
      <c r="K365" s="1" t="s">
        <v>2267</v>
      </c>
      <c r="L365" s="1" t="s">
        <v>1502</v>
      </c>
      <c r="M365" s="1">
        <v>1</v>
      </c>
    </row>
    <row r="366" spans="1:13" x14ac:dyDescent="0.3">
      <c r="A366" s="1">
        <v>2023</v>
      </c>
      <c r="B366" s="1" t="s">
        <v>1503</v>
      </c>
      <c r="C366" s="1" t="s">
        <v>1621</v>
      </c>
      <c r="D366" s="1" t="s">
        <v>2287</v>
      </c>
      <c r="E366" s="1" t="s">
        <v>2289</v>
      </c>
      <c r="F366" s="1" t="s">
        <v>2285</v>
      </c>
      <c r="G366" s="1" t="s">
        <v>2286</v>
      </c>
      <c r="H366" s="1">
        <v>12</v>
      </c>
      <c r="I366" s="1" t="s">
        <v>2288</v>
      </c>
      <c r="J366" s="1" t="s">
        <v>2290</v>
      </c>
      <c r="K366" s="1" t="s">
        <v>2291</v>
      </c>
      <c r="L366" s="1" t="s">
        <v>1502</v>
      </c>
      <c r="M366" s="1">
        <v>1</v>
      </c>
    </row>
    <row r="367" spans="1:13" x14ac:dyDescent="0.3">
      <c r="A367" s="1">
        <v>2024</v>
      </c>
      <c r="B367" s="1" t="s">
        <v>1503</v>
      </c>
      <c r="C367" s="1" t="s">
        <v>1621</v>
      </c>
      <c r="D367" s="1" t="s">
        <v>1932</v>
      </c>
      <c r="E367" s="1" t="s">
        <v>1934</v>
      </c>
      <c r="F367" s="1" t="s">
        <v>1930</v>
      </c>
      <c r="G367" s="1" t="s">
        <v>1931</v>
      </c>
      <c r="H367" s="1">
        <v>2</v>
      </c>
      <c r="I367" s="1" t="s">
        <v>1933</v>
      </c>
      <c r="J367" s="1" t="s">
        <v>1935</v>
      </c>
      <c r="K367" s="1" t="s">
        <v>1936</v>
      </c>
      <c r="L367" s="1" t="s">
        <v>1502</v>
      </c>
      <c r="M367" s="1">
        <v>1</v>
      </c>
    </row>
    <row r="368" spans="1:13" x14ac:dyDescent="0.3">
      <c r="A368" s="1">
        <v>2022</v>
      </c>
      <c r="B368" s="1" t="s">
        <v>1503</v>
      </c>
      <c r="C368" s="1" t="s">
        <v>1606</v>
      </c>
      <c r="D368" s="1" t="s">
        <v>2507</v>
      </c>
      <c r="E368" s="1" t="s">
        <v>2509</v>
      </c>
      <c r="F368" s="1" t="s">
        <v>2505</v>
      </c>
      <c r="G368" s="1" t="s">
        <v>2506</v>
      </c>
      <c r="H368" s="1">
        <v>37</v>
      </c>
      <c r="I368" s="1" t="s">
        <v>2508</v>
      </c>
      <c r="J368" s="1" t="s">
        <v>2510</v>
      </c>
      <c r="K368" s="1" t="s">
        <v>2511</v>
      </c>
      <c r="L368" s="1" t="s">
        <v>1502</v>
      </c>
      <c r="M368" s="1">
        <v>1</v>
      </c>
    </row>
    <row r="369" spans="1:13" x14ac:dyDescent="0.3">
      <c r="A369" s="1">
        <v>2023</v>
      </c>
      <c r="B369" s="1" t="s">
        <v>1503</v>
      </c>
      <c r="C369" s="1" t="s">
        <v>1606</v>
      </c>
      <c r="D369" s="1" t="s">
        <v>2402</v>
      </c>
      <c r="E369" s="1" t="s">
        <v>2404</v>
      </c>
      <c r="F369" s="1" t="s">
        <v>2400</v>
      </c>
      <c r="G369" s="1" t="s">
        <v>2401</v>
      </c>
      <c r="H369" s="1">
        <v>3</v>
      </c>
      <c r="I369" s="1" t="s">
        <v>2403</v>
      </c>
      <c r="J369" s="1" t="s">
        <v>2405</v>
      </c>
      <c r="K369" s="1" t="s">
        <v>2406</v>
      </c>
      <c r="L369" s="1" t="s">
        <v>1502</v>
      </c>
      <c r="M369" s="1">
        <v>1</v>
      </c>
    </row>
    <row r="370" spans="1:13" x14ac:dyDescent="0.3">
      <c r="A370" s="1">
        <v>2024</v>
      </c>
      <c r="B370" s="1" t="s">
        <v>1503</v>
      </c>
      <c r="C370" s="1" t="s">
        <v>1606</v>
      </c>
      <c r="D370" s="1" t="s">
        <v>1839</v>
      </c>
      <c r="E370" s="1" t="s">
        <v>1841</v>
      </c>
      <c r="F370" s="1" t="s">
        <v>1837</v>
      </c>
      <c r="G370" s="1" t="s">
        <v>1838</v>
      </c>
      <c r="H370" s="1">
        <v>3</v>
      </c>
      <c r="I370" s="1" t="s">
        <v>1840</v>
      </c>
      <c r="J370" s="1" t="s">
        <v>1842</v>
      </c>
      <c r="K370" s="1" t="s">
        <v>1843</v>
      </c>
      <c r="L370" s="1" t="s">
        <v>1502</v>
      </c>
      <c r="M370" s="1">
        <v>1</v>
      </c>
    </row>
    <row r="371" spans="1:13" x14ac:dyDescent="0.3">
      <c r="A371" s="1">
        <v>2025</v>
      </c>
      <c r="B371" s="1" t="s">
        <v>1503</v>
      </c>
      <c r="C371" s="1" t="s">
        <v>1606</v>
      </c>
      <c r="D371" s="1" t="s">
        <v>1605</v>
      </c>
      <c r="E371" s="1" t="s">
        <v>1608</v>
      </c>
      <c r="F371" s="1" t="s">
        <v>1603</v>
      </c>
      <c r="G371" s="1" t="s">
        <v>1604</v>
      </c>
      <c r="H371" s="1">
        <v>0</v>
      </c>
      <c r="I371" s="1" t="s">
        <v>1607</v>
      </c>
      <c r="J371" s="1" t="s">
        <v>1609</v>
      </c>
      <c r="K371" s="1" t="s">
        <v>1610</v>
      </c>
      <c r="L371" s="1" t="s">
        <v>1502</v>
      </c>
      <c r="M371" s="1">
        <v>1</v>
      </c>
    </row>
    <row r="372" spans="1:13" x14ac:dyDescent="0.3">
      <c r="A372" s="1">
        <v>2023</v>
      </c>
      <c r="B372" s="1" t="s">
        <v>1503</v>
      </c>
      <c r="C372" s="1" t="s">
        <v>1635</v>
      </c>
      <c r="D372" s="1" t="s">
        <v>2329</v>
      </c>
      <c r="E372" s="1" t="s">
        <v>2331</v>
      </c>
      <c r="F372" s="1" t="s">
        <v>2327</v>
      </c>
      <c r="G372" s="1" t="s">
        <v>2328</v>
      </c>
      <c r="H372" s="1">
        <v>11</v>
      </c>
      <c r="I372" s="1" t="s">
        <v>2330</v>
      </c>
      <c r="J372" s="1" t="s">
        <v>2332</v>
      </c>
      <c r="K372" s="5" t="str">
        <f>HYPERLINK("https%3A%2F%2Fwww.webofscience.com%2Fwos%2Fwoscc%2Ffull-record%2FWOS:000524291600008","View Full Record in Web of Science")</f>
        <v>View Full Record in Web of Science</v>
      </c>
      <c r="L372" s="1" t="s">
        <v>1502</v>
      </c>
      <c r="M372" s="1">
        <v>1</v>
      </c>
    </row>
    <row r="373" spans="1:13" x14ac:dyDescent="0.3">
      <c r="A373" s="1">
        <v>2024</v>
      </c>
      <c r="B373" s="1" t="s">
        <v>1503</v>
      </c>
      <c r="C373" s="1" t="s">
        <v>1635</v>
      </c>
      <c r="D373" s="1" t="s">
        <v>1900</v>
      </c>
      <c r="E373" s="1" t="s">
        <v>1902</v>
      </c>
      <c r="F373" s="1" t="s">
        <v>1899</v>
      </c>
      <c r="G373" s="1">
        <v>55549511800</v>
      </c>
      <c r="H373" s="1">
        <v>5</v>
      </c>
      <c r="I373" s="1" t="s">
        <v>1901</v>
      </c>
      <c r="J373" s="1" t="s">
        <v>1903</v>
      </c>
      <c r="K373" s="5" t="str">
        <f>HYPERLINK("https%3A%2F%2Fwww.webofscience.com%2Fwos%2Fwoscc%2Ffull-record%2FWOS:000524291600008","View Full Record in Web of Science")</f>
        <v>View Full Record in Web of Science</v>
      </c>
      <c r="L373" s="1" t="s">
        <v>1502</v>
      </c>
      <c r="M373" s="1">
        <v>1</v>
      </c>
    </row>
    <row r="374" spans="1:13" x14ac:dyDescent="0.3">
      <c r="A374" s="1">
        <v>2025</v>
      </c>
      <c r="B374" s="1" t="s">
        <v>1503</v>
      </c>
      <c r="C374" s="1" t="s">
        <v>1635</v>
      </c>
      <c r="D374" s="1" t="s">
        <v>1634</v>
      </c>
      <c r="E374" s="1" t="s">
        <v>1637</v>
      </c>
      <c r="F374" s="1" t="s">
        <v>1632</v>
      </c>
      <c r="G374" s="1" t="s">
        <v>1633</v>
      </c>
      <c r="H374" s="1">
        <v>0</v>
      </c>
      <c r="I374" s="1" t="s">
        <v>1636</v>
      </c>
      <c r="J374" s="1" t="s">
        <v>1638</v>
      </c>
      <c r="K374" s="5" t="str">
        <f>HYPERLINK("https%3A%2F%2Fwww.webofscience.com%2Fwos%2Fwoscc%2Ffull-record%2FWOS:000524291600008","View Full Record in Web of Science")</f>
        <v>View Full Record in Web of Science</v>
      </c>
      <c r="L374" s="1" t="s">
        <v>1502</v>
      </c>
      <c r="M374" s="1">
        <v>1</v>
      </c>
    </row>
    <row r="375" spans="1:13" x14ac:dyDescent="0.3">
      <c r="A375" s="1">
        <v>2025</v>
      </c>
      <c r="B375" s="1" t="s">
        <v>1503</v>
      </c>
      <c r="C375" s="1" t="s">
        <v>1635</v>
      </c>
      <c r="D375" s="1" t="s">
        <v>1757</v>
      </c>
      <c r="E375" s="1" t="s">
        <v>1759</v>
      </c>
      <c r="F375" s="1" t="s">
        <v>1755</v>
      </c>
      <c r="G375" s="1" t="s">
        <v>1756</v>
      </c>
      <c r="H375" s="1">
        <v>0</v>
      </c>
      <c r="I375" s="1" t="s">
        <v>1758</v>
      </c>
      <c r="J375" s="1" t="s">
        <v>1760</v>
      </c>
      <c r="K375" s="5" t="str">
        <f>HYPERLINK("https%3A%2F%2Fwww.webofscience.com%2Fwos%2Fwoscc%2Ffull-record%2FWOS:000524291600008","View Full Record in Web of Science")</f>
        <v>View Full Record in Web of Science</v>
      </c>
      <c r="L375" s="1" t="s">
        <v>1502</v>
      </c>
      <c r="M375" s="1">
        <v>1</v>
      </c>
    </row>
    <row r="376" spans="1:13" x14ac:dyDescent="0.3">
      <c r="A376" s="1">
        <v>2022</v>
      </c>
      <c r="B376" s="1" t="s">
        <v>1503</v>
      </c>
      <c r="C376" s="1" t="s">
        <v>1612</v>
      </c>
      <c r="D376" s="1" t="s">
        <v>2411</v>
      </c>
      <c r="E376" s="1" t="s">
        <v>2413</v>
      </c>
      <c r="F376" s="1" t="s">
        <v>2409</v>
      </c>
      <c r="G376" s="1" t="s">
        <v>2410</v>
      </c>
      <c r="H376" s="1">
        <v>36</v>
      </c>
      <c r="I376" s="1" t="s">
        <v>2412</v>
      </c>
      <c r="J376" s="1" t="s">
        <v>2414</v>
      </c>
      <c r="K376" s="1" t="s">
        <v>2415</v>
      </c>
      <c r="L376" s="1" t="s">
        <v>1502</v>
      </c>
      <c r="M376" s="1">
        <v>1</v>
      </c>
    </row>
    <row r="377" spans="1:13" x14ac:dyDescent="0.3">
      <c r="A377" s="1">
        <v>2024</v>
      </c>
      <c r="B377" s="1" t="s">
        <v>1503</v>
      </c>
      <c r="C377" s="1" t="s">
        <v>1612</v>
      </c>
      <c r="D377" s="1" t="s">
        <v>1959</v>
      </c>
      <c r="E377" s="1" t="s">
        <v>1961</v>
      </c>
      <c r="F377" s="1" t="s">
        <v>1957</v>
      </c>
      <c r="G377" s="1" t="s">
        <v>1958</v>
      </c>
      <c r="H377" s="1">
        <v>5</v>
      </c>
      <c r="I377" s="1" t="s">
        <v>1960</v>
      </c>
      <c r="J377" s="1" t="s">
        <v>1962</v>
      </c>
      <c r="K377" s="1" t="s">
        <v>1963</v>
      </c>
      <c r="L377" s="1" t="s">
        <v>1502</v>
      </c>
      <c r="M377" s="1">
        <v>1</v>
      </c>
    </row>
    <row r="378" spans="1:13" x14ac:dyDescent="0.3">
      <c r="A378" s="1">
        <v>2023</v>
      </c>
      <c r="B378" s="1" t="s">
        <v>2753</v>
      </c>
      <c r="C378" s="1" t="s">
        <v>2818</v>
      </c>
      <c r="D378" s="1" t="s">
        <v>2819</v>
      </c>
      <c r="E378" s="1" t="s">
        <v>2820</v>
      </c>
      <c r="F378" s="1" t="s">
        <v>2821</v>
      </c>
      <c r="G378" s="1" t="s">
        <v>499</v>
      </c>
      <c r="H378" s="1" t="s">
        <v>443</v>
      </c>
      <c r="I378" s="1" t="s">
        <v>2758</v>
      </c>
      <c r="J378" s="1" t="s">
        <v>500</v>
      </c>
      <c r="K378" s="1" t="str">
        <f>HYPERLINK("https%3A%2F%2Fwww.webofscience.com%2Fwos%2Fwoscc%2Ffull-record%2FWOS:001448323100003","View Full Record in Web of Science")</f>
        <v>View Full Record in Web of Science</v>
      </c>
      <c r="L378" s="1"/>
      <c r="M378" s="1">
        <v>1</v>
      </c>
    </row>
    <row r="379" spans="1:13" x14ac:dyDescent="0.3">
      <c r="A379" s="1">
        <v>2024</v>
      </c>
      <c r="B379" s="1" t="s">
        <v>2753</v>
      </c>
      <c r="C379" s="1" t="s">
        <v>2818</v>
      </c>
      <c r="D379" s="1" t="s">
        <v>2897</v>
      </c>
      <c r="E379" s="1" t="s">
        <v>2898</v>
      </c>
      <c r="F379" s="1" t="s">
        <v>1959</v>
      </c>
      <c r="G379" s="1" t="s">
        <v>2965</v>
      </c>
      <c r="H379" s="1" t="s">
        <v>548</v>
      </c>
      <c r="I379" s="1" t="s">
        <v>2777</v>
      </c>
      <c r="J379" s="1" t="s">
        <v>572</v>
      </c>
      <c r="K379" s="1" t="str">
        <f>HYPERLINK("https%3A%2F%2Fwww.webofscience.com%2Fwos%2Fwoscc%2Ffull-record%2FWOS:001473161100050","View Full Record in Web of Science")</f>
        <v>View Full Record in Web of Science</v>
      </c>
      <c r="L379" s="1"/>
      <c r="M379" s="1">
        <v>1</v>
      </c>
    </row>
    <row r="380" spans="1:13" x14ac:dyDescent="0.3">
      <c r="A380" s="1">
        <v>2023</v>
      </c>
      <c r="B380" s="1" t="s">
        <v>1503</v>
      </c>
      <c r="C380" s="1" t="s">
        <v>2325</v>
      </c>
      <c r="D380" s="1" t="s">
        <v>2386</v>
      </c>
      <c r="E380" s="1" t="s">
        <v>2388</v>
      </c>
      <c r="F380" s="1" t="s">
        <v>2384</v>
      </c>
      <c r="G380" s="1" t="s">
        <v>2385</v>
      </c>
      <c r="H380" s="1">
        <v>26</v>
      </c>
      <c r="I380" s="1" t="s">
        <v>2387</v>
      </c>
      <c r="J380" s="1" t="s">
        <v>2389</v>
      </c>
      <c r="K380" s="1" t="s">
        <v>2390</v>
      </c>
      <c r="L380" s="1" t="s">
        <v>1502</v>
      </c>
      <c r="M380" s="1">
        <v>1</v>
      </c>
    </row>
    <row r="381" spans="1:13" x14ac:dyDescent="0.3">
      <c r="A381" s="1">
        <v>2025</v>
      </c>
      <c r="B381" s="1" t="s">
        <v>697</v>
      </c>
      <c r="C381" s="1" t="s">
        <v>710</v>
      </c>
      <c r="D381" s="1" t="s">
        <v>708</v>
      </c>
      <c r="E381" s="1" t="s">
        <v>709</v>
      </c>
      <c r="F381" s="1">
        <v>2025</v>
      </c>
      <c r="G381" s="1"/>
      <c r="H381" s="1"/>
      <c r="I381" s="1"/>
      <c r="J381" s="1"/>
      <c r="K381" s="5" t="str">
        <f>HYPERLINK("https%3A%2F%2Fwww.webofscience.com%2Fwos%2Fwoscc%2Ffull-record%2FWOS:000524291600008","View Full Record in Web of Science")</f>
        <v>View Full Record in Web of Science</v>
      </c>
      <c r="L381" s="1"/>
      <c r="M381" s="1">
        <v>1</v>
      </c>
    </row>
    <row r="382" spans="1:13" x14ac:dyDescent="0.3">
      <c r="A382" s="1">
        <v>2021</v>
      </c>
      <c r="B382" s="1" t="s">
        <v>714</v>
      </c>
      <c r="C382" s="1" t="s">
        <v>790</v>
      </c>
      <c r="D382" s="1" t="s">
        <v>715</v>
      </c>
      <c r="E382" s="1" t="s">
        <v>807</v>
      </c>
      <c r="F382" s="1" t="s">
        <v>806</v>
      </c>
      <c r="G382" s="1" t="s">
        <v>791</v>
      </c>
      <c r="H382" s="1" t="s">
        <v>985</v>
      </c>
      <c r="I382" s="1">
        <v>45017</v>
      </c>
      <c r="J382" s="1">
        <v>45865.384814814817</v>
      </c>
      <c r="K382" s="1">
        <v>45865.384814814817</v>
      </c>
      <c r="L382" s="1" t="s">
        <v>987</v>
      </c>
      <c r="M382" s="1">
        <v>1</v>
      </c>
    </row>
    <row r="383" spans="1:13" x14ac:dyDescent="0.3">
      <c r="A383" s="1">
        <v>2024</v>
      </c>
      <c r="B383" s="1" t="s">
        <v>1503</v>
      </c>
      <c r="C383" s="1" t="s">
        <v>1516</v>
      </c>
      <c r="D383" s="1" t="s">
        <v>2122</v>
      </c>
      <c r="E383" s="1" t="s">
        <v>2124</v>
      </c>
      <c r="F383" s="1" t="s">
        <v>2120</v>
      </c>
      <c r="G383" s="1" t="s">
        <v>2121</v>
      </c>
      <c r="H383" s="1">
        <v>4</v>
      </c>
      <c r="I383" s="1" t="s">
        <v>2123</v>
      </c>
      <c r="J383" s="1" t="s">
        <v>2125</v>
      </c>
      <c r="K383" s="1" t="s">
        <v>2126</v>
      </c>
      <c r="L383" s="1" t="s">
        <v>1502</v>
      </c>
      <c r="M383" s="1">
        <v>1</v>
      </c>
    </row>
    <row r="384" spans="1:13" x14ac:dyDescent="0.3">
      <c r="A384" s="1">
        <v>2022</v>
      </c>
      <c r="B384" s="1" t="s">
        <v>1503</v>
      </c>
      <c r="C384" s="1" t="s">
        <v>2619</v>
      </c>
      <c r="D384" s="1" t="s">
        <v>2618</v>
      </c>
      <c r="E384" s="1" t="s">
        <v>2621</v>
      </c>
      <c r="F384" s="1" t="s">
        <v>2616</v>
      </c>
      <c r="G384" s="1" t="s">
        <v>2617</v>
      </c>
      <c r="H384" s="1">
        <v>2</v>
      </c>
      <c r="I384" s="1" t="s">
        <v>2620</v>
      </c>
      <c r="J384" s="1"/>
      <c r="K384" s="1" t="s">
        <v>2622</v>
      </c>
      <c r="L384" s="1" t="s">
        <v>1502</v>
      </c>
      <c r="M384" s="1">
        <v>1</v>
      </c>
    </row>
    <row r="385" spans="1:13" x14ac:dyDescent="0.3">
      <c r="A385" s="1">
        <v>2021</v>
      </c>
      <c r="B385" s="1" t="s">
        <v>1503</v>
      </c>
      <c r="C385" s="1" t="s">
        <v>2036</v>
      </c>
      <c r="D385" s="1" t="s">
        <v>2680</v>
      </c>
      <c r="E385" s="1" t="s">
        <v>2682</v>
      </c>
      <c r="F385" s="1" t="s">
        <v>2678</v>
      </c>
      <c r="G385" s="1" t="s">
        <v>2679</v>
      </c>
      <c r="H385" s="1">
        <v>70</v>
      </c>
      <c r="I385" s="1" t="s">
        <v>2681</v>
      </c>
      <c r="J385" s="1" t="s">
        <v>2683</v>
      </c>
      <c r="K385" s="1" t="s">
        <v>2684</v>
      </c>
      <c r="L385" s="1" t="s">
        <v>1502</v>
      </c>
      <c r="M385" s="1">
        <v>1</v>
      </c>
    </row>
    <row r="386" spans="1:13" x14ac:dyDescent="0.3">
      <c r="A386" s="1">
        <v>2023</v>
      </c>
      <c r="B386" s="1" t="s">
        <v>1503</v>
      </c>
      <c r="C386" s="1" t="s">
        <v>2036</v>
      </c>
      <c r="D386" s="1" t="s">
        <v>2370</v>
      </c>
      <c r="E386" s="1" t="s">
        <v>2372</v>
      </c>
      <c r="F386" s="1" t="s">
        <v>2368</v>
      </c>
      <c r="G386" s="1" t="s">
        <v>2369</v>
      </c>
      <c r="H386" s="1">
        <v>6</v>
      </c>
      <c r="I386" s="1" t="s">
        <v>2371</v>
      </c>
      <c r="J386" s="1" t="s">
        <v>2373</v>
      </c>
      <c r="K386" s="1" t="s">
        <v>2374</v>
      </c>
      <c r="L386" s="1" t="s">
        <v>1502</v>
      </c>
      <c r="M386" s="1">
        <v>1</v>
      </c>
    </row>
    <row r="387" spans="1:13" x14ac:dyDescent="0.3">
      <c r="A387" s="1">
        <v>2021</v>
      </c>
      <c r="B387" s="1" t="s">
        <v>2753</v>
      </c>
      <c r="C387" s="1" t="s">
        <v>2772</v>
      </c>
      <c r="D387" s="1" t="s">
        <v>2773</v>
      </c>
      <c r="E387" s="1" t="s">
        <v>2774</v>
      </c>
      <c r="F387" s="1" t="s">
        <v>2680</v>
      </c>
      <c r="G387" s="1" t="s">
        <v>486</v>
      </c>
      <c r="H387" s="1" t="s">
        <v>357</v>
      </c>
      <c r="I387" s="1" t="s">
        <v>2785</v>
      </c>
      <c r="J387" s="1" t="s">
        <v>487</v>
      </c>
      <c r="K387" s="1" t="str">
        <f>HYPERLINK("https%3A%2F%2Fwww.webofscience.com%2Fwos%2Fwoscc%2Ffull-record%2FWOS:001440184200014","View Full Record in Web of Science")</f>
        <v>View Full Record in Web of Science</v>
      </c>
      <c r="L387" s="1"/>
      <c r="M387" s="1">
        <v>1</v>
      </c>
    </row>
    <row r="389" spans="1:13" x14ac:dyDescent="0.3">
      <c r="A389"/>
      <c r="C389"/>
    </row>
    <row r="390" spans="1:13" x14ac:dyDescent="0.3">
      <c r="A390"/>
      <c r="C390"/>
    </row>
    <row r="391" spans="1:13" x14ac:dyDescent="0.3">
      <c r="A391"/>
      <c r="C391"/>
    </row>
    <row r="392" spans="1:13" x14ac:dyDescent="0.3">
      <c r="A392"/>
      <c r="C392"/>
    </row>
    <row r="393" spans="1:13" x14ac:dyDescent="0.3">
      <c r="A393"/>
      <c r="C393"/>
    </row>
    <row r="394" spans="1:13" x14ac:dyDescent="0.3">
      <c r="A394"/>
      <c r="C394"/>
    </row>
    <row r="395" spans="1:13" x14ac:dyDescent="0.3">
      <c r="A395"/>
      <c r="C395"/>
    </row>
    <row r="396" spans="1:13" x14ac:dyDescent="0.3">
      <c r="A396"/>
      <c r="C396"/>
    </row>
    <row r="397" spans="1:13" x14ac:dyDescent="0.3">
      <c r="A397"/>
      <c r="C397"/>
    </row>
    <row r="398" spans="1:13" x14ac:dyDescent="0.3">
      <c r="A398"/>
      <c r="C398"/>
    </row>
    <row r="399" spans="1:13" x14ac:dyDescent="0.3">
      <c r="A399"/>
      <c r="C399"/>
    </row>
    <row r="400" spans="1:13" x14ac:dyDescent="0.3">
      <c r="A400"/>
      <c r="C400"/>
    </row>
    <row r="401" spans="1:3" x14ac:dyDescent="0.3">
      <c r="A401"/>
      <c r="C401"/>
    </row>
    <row r="402" spans="1:3" x14ac:dyDescent="0.3">
      <c r="A402"/>
      <c r="C402"/>
    </row>
    <row r="403" spans="1:3" x14ac:dyDescent="0.3">
      <c r="A403"/>
      <c r="C403"/>
    </row>
    <row r="404" spans="1:3" x14ac:dyDescent="0.3">
      <c r="A404"/>
      <c r="C404"/>
    </row>
    <row r="405" spans="1:3" x14ac:dyDescent="0.3">
      <c r="A405"/>
      <c r="C405"/>
    </row>
    <row r="406" spans="1:3" x14ac:dyDescent="0.3">
      <c r="A406"/>
      <c r="C406"/>
    </row>
    <row r="407" spans="1:3" x14ac:dyDescent="0.3">
      <c r="A407"/>
      <c r="C407"/>
    </row>
    <row r="408" spans="1:3" x14ac:dyDescent="0.3">
      <c r="A408"/>
      <c r="C408"/>
    </row>
    <row r="409" spans="1:3" x14ac:dyDescent="0.3">
      <c r="A409"/>
      <c r="C409"/>
    </row>
    <row r="410" spans="1:3" x14ac:dyDescent="0.3">
      <c r="A410"/>
      <c r="C410"/>
    </row>
    <row r="411" spans="1:3" x14ac:dyDescent="0.3">
      <c r="A411"/>
      <c r="C411"/>
    </row>
    <row r="412" spans="1:3" x14ac:dyDescent="0.3">
      <c r="A412"/>
      <c r="C412"/>
    </row>
    <row r="413" spans="1:3" x14ac:dyDescent="0.3">
      <c r="A413"/>
      <c r="C413"/>
    </row>
    <row r="414" spans="1:3" x14ac:dyDescent="0.3">
      <c r="A414"/>
      <c r="C414"/>
    </row>
    <row r="415" spans="1:3" x14ac:dyDescent="0.3">
      <c r="A415"/>
      <c r="C415"/>
    </row>
    <row r="416" spans="1:3" x14ac:dyDescent="0.3">
      <c r="A416"/>
      <c r="C416"/>
    </row>
    <row r="417" spans="1:3" x14ac:dyDescent="0.3">
      <c r="A417"/>
      <c r="C417"/>
    </row>
    <row r="418" spans="1:3" x14ac:dyDescent="0.3">
      <c r="A418"/>
      <c r="C418"/>
    </row>
    <row r="419" spans="1:3" x14ac:dyDescent="0.3">
      <c r="A419"/>
      <c r="C419"/>
    </row>
    <row r="420" spans="1:3" x14ac:dyDescent="0.3">
      <c r="A420"/>
      <c r="C420"/>
    </row>
    <row r="421" spans="1:3" x14ac:dyDescent="0.3">
      <c r="A421"/>
      <c r="C421"/>
    </row>
    <row r="422" spans="1:3" x14ac:dyDescent="0.3">
      <c r="A422"/>
      <c r="C422"/>
    </row>
    <row r="423" spans="1:3" x14ac:dyDescent="0.3">
      <c r="A423"/>
      <c r="C423"/>
    </row>
    <row r="424" spans="1:3" x14ac:dyDescent="0.3">
      <c r="A424"/>
      <c r="C424"/>
    </row>
    <row r="425" spans="1:3" x14ac:dyDescent="0.3">
      <c r="A425"/>
      <c r="C425"/>
    </row>
    <row r="426" spans="1:3" x14ac:dyDescent="0.3">
      <c r="A426"/>
      <c r="C426"/>
    </row>
    <row r="427" spans="1:3" x14ac:dyDescent="0.3">
      <c r="A427"/>
      <c r="C427"/>
    </row>
    <row r="428" spans="1:3" x14ac:dyDescent="0.3">
      <c r="A428"/>
      <c r="C428"/>
    </row>
    <row r="429" spans="1:3" x14ac:dyDescent="0.3">
      <c r="A429"/>
      <c r="C429"/>
    </row>
    <row r="430" spans="1:3" x14ac:dyDescent="0.3">
      <c r="A430"/>
      <c r="C430"/>
    </row>
    <row r="431" spans="1:3" x14ac:dyDescent="0.3">
      <c r="A431"/>
      <c r="C431"/>
    </row>
    <row r="432" spans="1:3" x14ac:dyDescent="0.3">
      <c r="A432"/>
      <c r="C432"/>
    </row>
    <row r="433" spans="1:3" x14ac:dyDescent="0.3">
      <c r="A433"/>
      <c r="C433"/>
    </row>
    <row r="434" spans="1:3" x14ac:dyDescent="0.3">
      <c r="A434"/>
      <c r="C434"/>
    </row>
    <row r="435" spans="1:3" x14ac:dyDescent="0.3">
      <c r="A435"/>
      <c r="C435"/>
    </row>
    <row r="436" spans="1:3" x14ac:dyDescent="0.3">
      <c r="A436"/>
      <c r="C436"/>
    </row>
    <row r="437" spans="1:3" x14ac:dyDescent="0.3">
      <c r="A437"/>
      <c r="C437"/>
    </row>
    <row r="438" spans="1:3" x14ac:dyDescent="0.3">
      <c r="A438"/>
      <c r="C438"/>
    </row>
    <row r="439" spans="1:3" x14ac:dyDescent="0.3">
      <c r="A439"/>
      <c r="C439"/>
    </row>
    <row r="440" spans="1:3" x14ac:dyDescent="0.3">
      <c r="A440"/>
      <c r="C440"/>
    </row>
    <row r="441" spans="1:3" x14ac:dyDescent="0.3">
      <c r="A441"/>
      <c r="C441"/>
    </row>
    <row r="442" spans="1:3" x14ac:dyDescent="0.3">
      <c r="A442"/>
      <c r="C442"/>
    </row>
    <row r="443" spans="1:3" x14ac:dyDescent="0.3">
      <c r="A443"/>
      <c r="C443"/>
    </row>
    <row r="444" spans="1:3" x14ac:dyDescent="0.3">
      <c r="A444"/>
      <c r="C444"/>
    </row>
    <row r="445" spans="1:3" x14ac:dyDescent="0.3">
      <c r="A445"/>
      <c r="C445"/>
    </row>
  </sheetData>
  <dataConsolidate/>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518304-3412-403F-AF12-AD3D9A3C3D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ACM 51</vt:lpstr>
      <vt:lpstr>IEEE 50</vt:lpstr>
      <vt:lpstr>MDPI 5</vt:lpstr>
      <vt:lpstr>Science Direct 137</vt:lpstr>
      <vt:lpstr>Scopus 153</vt:lpstr>
      <vt:lpstr>Web of Science 54</vt:lpstr>
      <vt:lpstr>all in one 386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zaid naif</cp:lastModifiedBy>
  <dcterms:created xsi:type="dcterms:W3CDTF">2015-06-05T18:17:20Z</dcterms:created>
  <dcterms:modified xsi:type="dcterms:W3CDTF">2025-09-21T18:15:20Z</dcterms:modified>
</cp:coreProperties>
</file>